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<sst xmlns="http://schemas.openxmlformats.org/spreadsheetml/2006/main" count="6562" uniqueCount="5478">
  <si>
    <t>İl</t>
  </si>
  <si>
    <t>İlçe</t>
  </si>
  <si>
    <t>Belediye Başkanı</t>
  </si>
  <si>
    <t>Belediye Adresi</t>
  </si>
  <si>
    <t>Belediye Telefon Numarası</t>
  </si>
  <si>
    <t>Belediyenin Eposta Adresi</t>
  </si>
  <si>
    <t>Belediyenin Sitesi</t>
  </si>
  <si>
    <t>Renk Grubu</t>
  </si>
  <si>
    <t>Adana</t>
  </si>
  <si>
    <t>Büyükşehir (Merkez)</t>
  </si>
  <si>
    <t>Zeydan Karalar</t>
  </si>
  <si>
    <t>Reşatbey Mah., 62001 Sk. No:2, Seyhan/Adana</t>
  </si>
  <si>
    <t>0322 455 35 00</t>
  </si>
  <si>
    <t>info@adana.bel.tr</t>
  </si>
  <si>
    <t>www.adana.bel.tr</t>
  </si>
  <si>
    <t>Seyhan</t>
  </si>
  <si>
    <t>Oya Tekin</t>
  </si>
  <si>
    <t>Döşeme Mh., Turhan Cemal Beriker Blv. No:57, Seyhan/ADANA</t>
  </si>
  <si>
    <t>0322 432 74 74</t>
  </si>
  <si>
    <t>halkmasasi@seyhan.bel.tr</t>
  </si>
  <si>
    <t>seyhan.bel.tr</t>
  </si>
  <si>
    <t>Çukurova</t>
  </si>
  <si>
    <t>Emrah Kozay</t>
  </si>
  <si>
    <t>Belediye Evleri Mh., Türkmenbaşı Blv. No:61, Çukurova/ADANA</t>
  </si>
  <si>
    <t>0322 239 64 64</t>
  </si>
  <si>
    <t>bilgi@cukurova.bel.tr</t>
  </si>
  <si>
    <t>cukurova.bel.tr</t>
  </si>
  <si>
    <t>Yüreğir</t>
  </si>
  <si>
    <t>Ali Demirçalı</t>
  </si>
  <si>
    <t>Yavuzlar Mah., 4071 Sokak No:4, Yüreğir/ADANA</t>
  </si>
  <si>
    <t>444 80 44</t>
  </si>
  <si>
    <t>bilgi@yuregir.bel.tr</t>
  </si>
  <si>
    <t>yuregir.bel.tr</t>
  </si>
  <si>
    <t>Sarıçam</t>
  </si>
  <si>
    <t>Bilal Uludağ</t>
  </si>
  <si>
    <t>Elif Su Uludağ Mah., Sezai Karakoç Blv. No:80/A, Sarıçam/ADANA</t>
  </si>
  <si>
    <t>0322 341 08 08</t>
  </si>
  <si>
    <t>info@saricam.bel.tr</t>
  </si>
  <si>
    <t>saricam.bel.tr</t>
  </si>
  <si>
    <t>Ceyhan</t>
  </si>
  <si>
    <t>Kadir Aydar</t>
  </si>
  <si>
    <t>Konakoğlu Mh., Dr. Mahir Alp Boydak Blv. No:58, Ceyhan/ADANA</t>
  </si>
  <si>
    <t>0322 613 40 22</t>
  </si>
  <si>
    <t>info@ceyhan.bel.tr</t>
  </si>
  <si>
    <t>ceyhan.bel.tr</t>
  </si>
  <si>
    <t>Kozan</t>
  </si>
  <si>
    <t>Mustafa Atlı</t>
  </si>
  <si>
    <t>Cumhuriyet Mh., Irmak Cad., İlay Sk. No:2, Kozan/ADANA</t>
  </si>
  <si>
    <t>0322 515 84 00</t>
  </si>
  <si>
    <t>kozan@kozan.bel.tr</t>
  </si>
  <si>
    <t>kozan.bel.tr</t>
  </si>
  <si>
    <t>İmamoğlu</t>
  </si>
  <si>
    <t>Kasım Karaköse</t>
  </si>
  <si>
    <t>Tuna Mah., 01700 İmamoğlu/ADANA</t>
  </si>
  <si>
    <t>0322 892 17 17</t>
  </si>
  <si>
    <t>imamoglubelediyesi.bel.tr</t>
  </si>
  <si>
    <t>Karaisalı</t>
  </si>
  <si>
    <t>Bekir Şimşek</t>
  </si>
  <si>
    <t>Karapınar Mh., Cumhuriyet Cad. No:1, Karaisalı/ADANA</t>
  </si>
  <si>
    <t>0322 551 32 80</t>
  </si>
  <si>
    <t>info@karaisali.bel.tr</t>
  </si>
  <si>
    <t>karaisali.bel.tr</t>
  </si>
  <si>
    <t>Karataş</t>
  </si>
  <si>
    <t>Ali Bedrettin Karataş</t>
  </si>
  <si>
    <t>Yeni Mh., Atatürk Cad. No:42, Karataş/ADANA</t>
  </si>
  <si>
    <t>0322 681 32 08</t>
  </si>
  <si>
    <t>info@karatas.bel.tr</t>
  </si>
  <si>
    <t>karatas.bel.tr</t>
  </si>
  <si>
    <t>Feke</t>
  </si>
  <si>
    <t>Cömert Özen</t>
  </si>
  <si>
    <t>İslam Mh., Ulus Cd. No:35/11, Feke/ADANA</t>
  </si>
  <si>
    <t>0322 741 20 22</t>
  </si>
  <si>
    <t>info@feke.bel.tr</t>
  </si>
  <si>
    <t>feke.bel.tr</t>
  </si>
  <si>
    <t>Pozantı</t>
  </si>
  <si>
    <t>Ali Avan</t>
  </si>
  <si>
    <t>İstiklal Mh., Atatürk Cad. No:26, Pozantı/ADANA</t>
  </si>
  <si>
    <t>0322 581 30 28</t>
  </si>
  <si>
    <t>info@pozanti.bel.tr</t>
  </si>
  <si>
    <t>pozanti.bel.tr</t>
  </si>
  <si>
    <t>Saimbeyli</t>
  </si>
  <si>
    <t>Mahmut Dal</t>
  </si>
  <si>
    <t>İslam Mah., Şehit Ufuk Çınar Cd. No:3/202, Saimbeyli/ADANA</t>
  </si>
  <si>
    <t>0322 761 21 26</t>
  </si>
  <si>
    <t>iletisim@saimbeyli.bel.tr</t>
  </si>
  <si>
    <t>saimbeyli.bel.tr</t>
  </si>
  <si>
    <t>Tufanbeyli</t>
  </si>
  <si>
    <t>Ahmet Aktürk</t>
  </si>
  <si>
    <t>İstiklal Mah., Saimbeyli Cd. No:29, Tufanbeyli/ADANA</t>
  </si>
  <si>
    <t>0322 781 83 91</t>
  </si>
  <si>
    <t>tufanbeyli@tufanbeyli.bel.tr</t>
  </si>
  <si>
    <t>tufanbeyli.bel.tr</t>
  </si>
  <si>
    <t>Yumurtalık</t>
  </si>
  <si>
    <t>Aydın Kütükoğlu</t>
  </si>
  <si>
    <t>Devrişiye Mah., Dumlupınar Sk. No:1, Yumurtalık/ADANA</t>
  </si>
  <si>
    <t>0322 671 20 17</t>
  </si>
  <si>
    <t>info@yumurtalik.bel.tr</t>
  </si>
  <si>
    <t>yumurtalik.bel.tr</t>
  </si>
  <si>
    <t>Aladağ</t>
  </si>
  <si>
    <t>Kemal Özdemir</t>
  </si>
  <si>
    <t>Mansurlu Mah., İnönü Cad. No:19, Aladağ/ADANA</t>
  </si>
  <si>
    <t>0322 591 20 18</t>
  </si>
  <si>
    <t>aladag@aladag.bel.tr</t>
  </si>
  <si>
    <t>www.aladag.bel.tr</t>
  </si>
  <si>
    <t>Adıyaman</t>
  </si>
  <si>
    <t>Merkez</t>
  </si>
  <si>
    <t>Abdurrahman Tutdere</t>
  </si>
  <si>
    <t>Alitaşı Mah., Atatürk Blv. No.144, 02100 Merkez/Adıyaman</t>
  </si>
  <si>
    <t>444 25 02</t>
  </si>
  <si>
    <t>iletisim@adiyaman.bel.tr</t>
  </si>
  <si>
    <t>adiyaman.bel.tr</t>
  </si>
  <si>
    <t>Besni</t>
  </si>
  <si>
    <t>Reşit Alkan</t>
  </si>
  <si>
    <t>Pınarbaşı OSB Mahallesi 3 Nolu Sokak No/8, Besni/Adıyaman</t>
  </si>
  <si>
    <t>0416 318 1636</t>
  </si>
  <si>
    <t>info@besni.bel.tr</t>
  </si>
  <si>
    <t>besni.bel.tr</t>
  </si>
  <si>
    <t>Çelikhan</t>
  </si>
  <si>
    <t>Mahmut Şahin</t>
  </si>
  <si>
    <t>Yunus Emre Mahallesi, Hükümet Caddesi, Hükümet Konağı, Kat: 2, Çelikhan / Adıyaman</t>
  </si>
  <si>
    <t>0416 451 20 11</t>
  </si>
  <si>
    <t>info@celikhan.bel.tr</t>
  </si>
  <si>
    <t>celikhan.bel.tr</t>
  </si>
  <si>
    <t>Gerger</t>
  </si>
  <si>
    <t>Erkan Aksoy</t>
  </si>
  <si>
    <t>Merkez Mahallesi, M. Yücel Öz Bilgin Cad., Hal Sokak, No: 6, Gerger/Adıyaman</t>
  </si>
  <si>
    <t>0416 431 21 27</t>
  </si>
  <si>
    <t>bilgi@gerger.bel.tr</t>
  </si>
  <si>
    <t>gerger.bel.tr</t>
  </si>
  <si>
    <t>Gölbaşı</t>
  </si>
  <si>
    <t>İskender Yıldırım</t>
  </si>
  <si>
    <t>Cumhuriyet Mah. Karaağaç Cad. No:5, 02500 Gölbaşı/Adıyaman</t>
  </si>
  <si>
    <t>0416 781 61 00</t>
  </si>
  <si>
    <t>info@golbasi.bel.tr</t>
  </si>
  <si>
    <t>golbasi.adiyaman.bel.tr</t>
  </si>
  <si>
    <t>Kahta</t>
  </si>
  <si>
    <t>Mehmet Can Hallaç</t>
  </si>
  <si>
    <t>Yeni Mah. Cumhuriyet Cad. No:57, 02400 Kahta/Adıyaman</t>
  </si>
  <si>
    <t>0416 725 51 00</t>
  </si>
  <si>
    <t>info@kahta.bel.tr</t>
  </si>
  <si>
    <t>kahta.bel.tr</t>
  </si>
  <si>
    <t>Samsat</t>
  </si>
  <si>
    <t>Halil Fırat</t>
  </si>
  <si>
    <t>Kale Mah. Zeynal Aslan Cad. No:2, Samsat/Adıyaman</t>
  </si>
  <si>
    <t>0416 411 20 25</t>
  </si>
  <si>
    <t>samsat@samsat.bel.tr</t>
  </si>
  <si>
    <t>samsat.bel.tr</t>
  </si>
  <si>
    <t>Sincik</t>
  </si>
  <si>
    <t>Mehmet Korkut</t>
  </si>
  <si>
    <t>Merkez Mahallesi, Turgut Özal Bulvarı, Belediye Hizmet Binası, No: 44, 02900 Sincik/Adıyaman</t>
  </si>
  <si>
    <t>0416 421 20 08</t>
  </si>
  <si>
    <t>bilgi@sincik.bel.tr</t>
  </si>
  <si>
    <t>sincik.bel.tr</t>
  </si>
  <si>
    <t>Tut</t>
  </si>
  <si>
    <t>Ercan Öncebe</t>
  </si>
  <si>
    <t>Ayniye Mah. Zübeyde Hanım Cad. No:6, 02350 Tut / ADIYAMAN</t>
  </si>
  <si>
    <t>0416 441 20 02</t>
  </si>
  <si>
    <t>info@tut.bel.tr</t>
  </si>
  <si>
    <t>tut.bel.tr</t>
  </si>
  <si>
    <t>Afyonkarahisar</t>
  </si>
  <si>
    <t>Burcu Köksal</t>
  </si>
  <si>
    <t>Karaman Mahallesi, Albay Reşat Çiğiltepe Caddesi, No: 11, 03200 Merkez / Afyonkarahisar</t>
  </si>
  <si>
    <t>0272 214 42 55</t>
  </si>
  <si>
    <t>info@afyon.bel.tr</t>
  </si>
  <si>
    <t>https://www.afyon.bel.tr</t>
  </si>
  <si>
    <t>Başmakçı</t>
  </si>
  <si>
    <t>Muhammet Şentürk</t>
  </si>
  <si>
    <t>Gülistan Mahallesi, Hükümet Önü Caddesi, No: 15, Başmakçı / Afyonkarahisar</t>
  </si>
  <si>
    <t>0272 411 20 47</t>
  </si>
  <si>
    <t>bilgi@basmakci.bel.tr</t>
  </si>
  <si>
    <t>https://www.basmakci.bel.tr</t>
  </si>
  <si>
    <t>Bayat</t>
  </si>
  <si>
    <t>Halil İbrahim Bodur</t>
  </si>
  <si>
    <t>Büyük Mahalle, Atatürk Caddesi, No: 5, 03780 Bayat / AFYONKARAHİSAR</t>
  </si>
  <si>
    <t>0272 491 20 03</t>
  </si>
  <si>
    <t/>
  </si>
  <si>
    <t>bayat.bel.tr</t>
  </si>
  <si>
    <t>Bolvadin</t>
  </si>
  <si>
    <t>Derviş Aynacı</t>
  </si>
  <si>
    <t>Yenice Mahallesi, Prof. Dr. Necmettin Erbakan Caddesi, No: 68, Bolvadin / Afyonkarahisar</t>
  </si>
  <si>
    <t>0272 612 52 34</t>
  </si>
  <si>
    <t>bilgi@bolvadinbelediyesi.com</t>
  </si>
  <si>
    <t>https://www.bolvadin.bel.tr</t>
  </si>
  <si>
    <t>Çay</t>
  </si>
  <si>
    <t>Yaşar Kemal Kantartopu</t>
  </si>
  <si>
    <t>Orta Mahalle, Cumhuriyet Caddesi, No: 77, 03700 Çay / Afyonkarahisar</t>
  </si>
  <si>
    <t>0272 631 29 51</t>
  </si>
  <si>
    <t>iletişim@cay.bel.tr</t>
  </si>
  <si>
    <t>https://www.cay.bel.tr</t>
  </si>
  <si>
    <t>Çobanlar</t>
  </si>
  <si>
    <t>Ali Altuntaş</t>
  </si>
  <si>
    <t>Bucak Mahallesi, Abdülhamid Han Caddesi, No: 5, Çobanlar / Afyonkarahisar</t>
  </si>
  <si>
    <t>0272 261 20 04</t>
  </si>
  <si>
    <t>iletisim@cobanlar.bel.tr</t>
  </si>
  <si>
    <t>https://www.cobanlar.bel.tr</t>
  </si>
  <si>
    <t>Dazkırı</t>
  </si>
  <si>
    <t>Fatih Çiçek</t>
  </si>
  <si>
    <t>Kurtuluş Mahallesi, Hükümet Caddesi, No: 8, Dazkırı / Afyonkarahisar</t>
  </si>
  <si>
    <t>0272 421 30 82</t>
  </si>
  <si>
    <t>dazkiri@dazkiri.bel.tr</t>
  </si>
  <si>
    <t>https://www.dazkiri.bel.tr</t>
  </si>
  <si>
    <t>Dinar</t>
  </si>
  <si>
    <t>Veysel Topçu</t>
  </si>
  <si>
    <t>Camikebir Mahallesi, Hal Caddesi, No: 1, Dinar / Afyonkarahisar</t>
  </si>
  <si>
    <t>0272 353 60 53</t>
  </si>
  <si>
    <t>dinar@dinar.bel.tr</t>
  </si>
  <si>
    <t>https://www.dinar.bel.tr</t>
  </si>
  <si>
    <t>Emirdağ</t>
  </si>
  <si>
    <t>Serkan Koyuncu</t>
  </si>
  <si>
    <t>Cumhuriyet Mahallesi, 5006. Sokak, No: 10, Emirdağ / Afyonkarahisar</t>
  </si>
  <si>
    <t>0272 442 78 01</t>
  </si>
  <si>
    <t>info@emirdag.bel.tr</t>
  </si>
  <si>
    <t>https://www.emirdag.bel.tr</t>
  </si>
  <si>
    <t>Evciler</t>
  </si>
  <si>
    <t>Berrin Uğurlu</t>
  </si>
  <si>
    <t>Kayalık Mahallesi, Cumhuriyet Meydanı, Özel İdare İşhanı, Kat: 2, Evciler / Afyonkarahisar</t>
  </si>
  <si>
    <t>0272 431 20 61</t>
  </si>
  <si>
    <t>afyonevcilerbel@gmail.com</t>
  </si>
  <si>
    <t>http://www.afyonevciler.bel.tr</t>
  </si>
  <si>
    <t>Hocalar</t>
  </si>
  <si>
    <t>Ali Arslan</t>
  </si>
  <si>
    <t>Yeni Mahalle, Uşak Caddesi, No:1, 03532 Hocalar / Afyonkarahisar</t>
  </si>
  <si>
    <t>0272 551 20 02</t>
  </si>
  <si>
    <t>bilgi@hocalar.bel.tr</t>
  </si>
  <si>
    <t>http://www.hocalar.bel.tr</t>
  </si>
  <si>
    <t>İhsaniye</t>
  </si>
  <si>
    <t>Emine Gökçe</t>
  </si>
  <si>
    <t>Hürriyet Mahallesi, Atatürk Caddesi, No: 4, İhsaniye / Afyonkarahisar</t>
  </si>
  <si>
    <t>0272 271 50 10</t>
  </si>
  <si>
    <t>bilgi@ihsaniye.bel.tr</t>
  </si>
  <si>
    <t>https://www.ihsaniye.bel.tr</t>
  </si>
  <si>
    <t>İscehisar</t>
  </si>
  <si>
    <t>Seyhan Kılınçarslan</t>
  </si>
  <si>
    <t>Fatih Mahallesi, Dere Sokak, No: 4, İscehisar / Afyonkarahisar</t>
  </si>
  <si>
    <t>0444 03 01</t>
  </si>
  <si>
    <t>bilgi@iscehisar.bel.tr</t>
  </si>
  <si>
    <t>https://www.iscehisar.bel.tr</t>
  </si>
  <si>
    <t>Kızılören</t>
  </si>
  <si>
    <t>Ali Erol</t>
  </si>
  <si>
    <t>Cumhuriyet Mahallesi, Cengiz Topel Caddesi, No: 28, Kızılören / Afyonkarahisar</t>
  </si>
  <si>
    <t>0272 571 76 56</t>
  </si>
  <si>
    <t>kizilorenbelediyesi1969@hotmail.com</t>
  </si>
  <si>
    <t>http://www.afyonkiziloren.bel.tr</t>
  </si>
  <si>
    <t>Sandıklı</t>
  </si>
  <si>
    <t>Adnan Öztaş</t>
  </si>
  <si>
    <t>Ece Mahallesi, Yunus Emre Bulvarı, No: 3, Sandıklı / Afyonkarahisar</t>
  </si>
  <si>
    <t>444 60 03</t>
  </si>
  <si>
    <t>bilgi@sandikli.bel.tr</t>
  </si>
  <si>
    <t>https://www.sandikli.bel.tr</t>
  </si>
  <si>
    <t>Sinanpaşa</t>
  </si>
  <si>
    <t>Tolga Yıldırım</t>
  </si>
  <si>
    <t>Cumhuriyet Meydanı, 03850 Sinanpaşa / Afyonkarahisar</t>
  </si>
  <si>
    <t>0272 311 77 48</t>
  </si>
  <si>
    <t>bilgi@sinanpasa.bel.tr</t>
  </si>
  <si>
    <t>https://www.sinanpasa.bel.tr</t>
  </si>
  <si>
    <t>Sultandağı</t>
  </si>
  <si>
    <t>Mehmet Aldırmaz</t>
  </si>
  <si>
    <t>Pazaraltı Mahallesi, Atatürk Caddesi, No: 20, Sultandağı / Afyonkarahisar</t>
  </si>
  <si>
    <t>0272 656 10 21</t>
  </si>
  <si>
    <t>bilgi@sultandagi.bel.tr</t>
  </si>
  <si>
    <t>https://www.sultandagi.bel.tr</t>
  </si>
  <si>
    <t>Şuhut</t>
  </si>
  <si>
    <t>Muhittin Özaşkın</t>
  </si>
  <si>
    <t>Kurtuluş Mahallesi, Afyon Caddesi, No: 14, Şuhut / Afyonkarahisar</t>
  </si>
  <si>
    <t>0272 718 20 01</t>
  </si>
  <si>
    <t>iletisim@suhut.bel.tr</t>
  </si>
  <si>
    <t>https://www.suhut.bel.tr</t>
  </si>
  <si>
    <t>Ağrı</t>
  </si>
  <si>
    <t>Hazal ARAS / Memet AKKUŞ (Eş Başkanlar)</t>
  </si>
  <si>
    <t>Fırat Mahallesi Atalay Caddesi No:7, 04100 Merkez / Ağrı</t>
  </si>
  <si>
    <t>0472 215 11 90</t>
  </si>
  <si>
    <t>info@agri.bel.tr</t>
  </si>
  <si>
    <t>https://www.agri.bel.tr/</t>
  </si>
  <si>
    <t>Diyadin</t>
  </si>
  <si>
    <t>Adnan DOĞAN / Hayat ZORBAY (Eş Başkanlar)</t>
  </si>
  <si>
    <t>İsaağa Mahallesi İnönü Caddesi No:10/A 04900 Diyadin / Ağrı</t>
  </si>
  <si>
    <t>0472 511 20 08</t>
  </si>
  <si>
    <t>info@diyadin.bel.tr</t>
  </si>
  <si>
    <t>https://www.diyadin.bel.tr/</t>
  </si>
  <si>
    <t>Doğubayazıt</t>
  </si>
  <si>
    <t>Kenan ALKAN / Aygül AŞAN (Eş Başkanlar)</t>
  </si>
  <si>
    <t>Çiftepınar Mahallesi Belediye Caddesi Pk:04400, 04400 Doğubayazıt / Ağrı</t>
  </si>
  <si>
    <t>0472 312 64 03</t>
  </si>
  <si>
    <t>bilgi@dogubayazit.bel.tr</t>
  </si>
  <si>
    <t>https://www.dogubayazit.bel.tr/</t>
  </si>
  <si>
    <t>Eleşkirt</t>
  </si>
  <si>
    <t>Ramazan YAKUT</t>
  </si>
  <si>
    <t>Karşıyaka Mahallesi Cumhuriyet Caddesi Pk:04600 Eleşkirt / Ağrı</t>
  </si>
  <si>
    <t>0472 711 20 84</t>
  </si>
  <si>
    <t>belediye@eleskirt.bel.tr</t>
  </si>
  <si>
    <t>https://eleskirt.bel.tr/</t>
  </si>
  <si>
    <t>Hamur</t>
  </si>
  <si>
    <t>İsmet ASLAN</t>
  </si>
  <si>
    <t>Kümbet Mahallesi Van Caddesi Belediye Hizmet Binası No:49 Hamur / Ağrı</t>
  </si>
  <si>
    <t>0472 451 20 55</t>
  </si>
  <si>
    <t>belediye@hamur.bel.tr</t>
  </si>
  <si>
    <t>https://www.hamur.bel.tr/</t>
  </si>
  <si>
    <t>Patnos</t>
  </si>
  <si>
    <t>Abdulhalık TAŞKIN</t>
  </si>
  <si>
    <t>Cumhuriyet Mahallesi Van Bulvarı 04500 Patnos / Ağrı</t>
  </si>
  <si>
    <t>0472 616 11 28</t>
  </si>
  <si>
    <t>https://www.patnos.bel.tr/</t>
  </si>
  <si>
    <t>Taşlıçay</t>
  </si>
  <si>
    <t>Mehmet Ali BUDAK</t>
  </si>
  <si>
    <t>15 Temmuz Şehitler Mahallesi Mareşal Fevzi Çakmak Caddesi Kat:1 No:47 04800 Taşlıçay / Ağrı</t>
  </si>
  <si>
    <t>0472 551 21 81</t>
  </si>
  <si>
    <t>bilgi@taslicay.bel.tr</t>
  </si>
  <si>
    <t>https://www.taslicay.bel.tr/</t>
  </si>
  <si>
    <t>Tutak</t>
  </si>
  <si>
    <t>Fevzi SAYAN</t>
  </si>
  <si>
    <t>Cami Mahallesi Cumhuriyet Caddesi No:37 04700 Tutak / Ağrı</t>
  </si>
  <si>
    <t>0472 411 35 36</t>
  </si>
  <si>
    <t>bilgi@tutak.bel.tr</t>
  </si>
  <si>
    <t>https://www.tutak.bel.tr/</t>
  </si>
  <si>
    <t>Amasya</t>
  </si>
  <si>
    <t>Turgay Sevindi</t>
  </si>
  <si>
    <t>Ellibeşevler Mahallesi, Mehmet Varinli Caddesi No:95-103a, 05200 Amasya Merkez/Amasya</t>
  </si>
  <si>
    <t>0 358 218 80 00</t>
  </si>
  <si>
    <t>amasya@amasya.bel.tr</t>
  </si>
  <si>
    <t>https://www.amasya.bel.tr</t>
  </si>
  <si>
    <t>Göynücek</t>
  </si>
  <si>
    <t>Kemal Şahin</t>
  </si>
  <si>
    <t>Atatürk Caddesi No:1, 05900 Göynücek/Amasya</t>
  </si>
  <si>
    <t>0 358 615 20 81</t>
  </si>
  <si>
    <t>iletisim@goynucek.bel.tr</t>
  </si>
  <si>
    <t>http://www.goynucek.bel.tr</t>
  </si>
  <si>
    <t>Gümüşhacıköy</t>
  </si>
  <si>
    <t>Zehra Özyol</t>
  </si>
  <si>
    <t>Artıkabat Mahallesi, Cumhuriyet Caddesi No:27, Gümüşhacıköy/Amasya</t>
  </si>
  <si>
    <t>0 358 717 19 38</t>
  </si>
  <si>
    <t>bilgi@gumushacikoy.bel.tr</t>
  </si>
  <si>
    <t>https://www.gumushacikoy.bel.tr</t>
  </si>
  <si>
    <t>Hamamözü</t>
  </si>
  <si>
    <t>Cihan Demir</t>
  </si>
  <si>
    <t>Arkutbey Mahallesi, Cumhuriyet Meydanı No:2, 05720 Hamamözü/Amasya</t>
  </si>
  <si>
    <t>0 358 787 60 02</t>
  </si>
  <si>
    <t>info@hamamozu.bel.tr</t>
  </si>
  <si>
    <t>https://hamamozu.bel.tr</t>
  </si>
  <si>
    <t>Merzifon</t>
  </si>
  <si>
    <t>Alp Kargı</t>
  </si>
  <si>
    <t>Sofular Mahallesi, Cumhuriyet Caddesi No:163/A, Merzifon/Amasya</t>
  </si>
  <si>
    <t>0 358 513 13 87</t>
  </si>
  <si>
    <t>iletisim@merzifon.bel.tr</t>
  </si>
  <si>
    <t>https://www.merzifon.bel.tr</t>
  </si>
  <si>
    <t>Suluova</t>
  </si>
  <si>
    <t>Rifat Uzun</t>
  </si>
  <si>
    <t>Cumhuriyet Mahallesi, Atatürk Bulvarı No:146, 05500 Suluova/Amasya</t>
  </si>
  <si>
    <t>444 76 79</t>
  </si>
  <si>
    <t>hilalmasa@suluova.bel.tr</t>
  </si>
  <si>
    <t>https://suluova.bel.tr</t>
  </si>
  <si>
    <t>Taşova</t>
  </si>
  <si>
    <t>Ömer Özalp</t>
  </si>
  <si>
    <t>Cumhuriyet Mahallesi, Atatürk Bulvarı No:27/h, Taşova/Amasya</t>
  </si>
  <si>
    <t>0 358 312 10 06</t>
  </si>
  <si>
    <t>info@tasova.bel.tr</t>
  </si>
  <si>
    <t>https://tasova.bel.tr</t>
  </si>
  <si>
    <t>Ankara</t>
  </si>
  <si>
    <t>Akyurt</t>
  </si>
  <si>
    <t>Hilal Ayık</t>
  </si>
  <si>
    <t>Beyazıt Mahallesi, 9 Mayıs 90 Caddesi, No:34, Akyurt / ANKARA</t>
  </si>
  <si>
    <t>0312 844 18 44</t>
  </si>
  <si>
    <t>akyurt@akyurt.bel.tr</t>
  </si>
  <si>
    <t>https://www.akyurt.bel.tr</t>
  </si>
  <si>
    <t>Altındağ</t>
  </si>
  <si>
    <t>Veysel Tiryaki</t>
  </si>
  <si>
    <t>Zübeyde Hanım Mah. 657. Cadde No:14, 06320 Altındağ / Ankara</t>
  </si>
  <si>
    <t>0312 507 00 00</t>
  </si>
  <si>
    <t>altinmasa@altindag.bel.tr</t>
  </si>
  <si>
    <t>https://www.altindag.bel.tr</t>
  </si>
  <si>
    <t>Ayaş</t>
  </si>
  <si>
    <t>İzzet Demircioğlu</t>
  </si>
  <si>
    <t>Camiatik Mahallesi, Cumhuriyet Meydanı, No:1, 06710 Ayaş/ANKARA</t>
  </si>
  <si>
    <t>0312 712 26 00</t>
  </si>
  <si>
    <t>info@ayas.bel.tr</t>
  </si>
  <si>
    <t>https://www.ayas.bel.tr</t>
  </si>
  <si>
    <t>Bala</t>
  </si>
  <si>
    <t>Ahmet Buran</t>
  </si>
  <si>
    <t>Şentepe Mah. İ. Melih Gökçek Cd. Şehit Murat Yalçın Sk. No:95, Balâ / Ankara</t>
  </si>
  <si>
    <t>0312 876 10 08</t>
  </si>
  <si>
    <t>info@bala.bel.tr</t>
  </si>
  <si>
    <t>https://www.bala.bel.tr</t>
  </si>
  <si>
    <t>Beypazarı</t>
  </si>
  <si>
    <t>Özer Kasap</t>
  </si>
  <si>
    <t>Kurtuluş, Milli Egemenlik Caddesi, No: 49/1, 06730 Beypazarı/Ankara</t>
  </si>
  <si>
    <t>0312 762 25 10</t>
  </si>
  <si>
    <t>belediye@beypazari.bel.tr</t>
  </si>
  <si>
    <t>https://www.beypazari.bel.tr</t>
  </si>
  <si>
    <t>Çamlıdere</t>
  </si>
  <si>
    <t>Adem Ceylan</t>
  </si>
  <si>
    <t>Cumhuriyet Caddesi No: 1, Çamlıdere / ANKARA</t>
  </si>
  <si>
    <t>0312 753 23 01</t>
  </si>
  <si>
    <t>info@camlidere.bel.tr</t>
  </si>
  <si>
    <t>https://www.camlidere.bel.tr</t>
  </si>
  <si>
    <t>Çankaya</t>
  </si>
  <si>
    <t>Hüseyin Can Güner</t>
  </si>
  <si>
    <t>Ziya Gökalp Caddesi No:11, Kızılay / ANKARA</t>
  </si>
  <si>
    <t>0312 458 89 00</t>
  </si>
  <si>
    <t>iletisimmerkezi@cankaya.bel.tr</t>
  </si>
  <si>
    <t>https://www.cankaya.bel.tr</t>
  </si>
  <si>
    <t>Çubuk</t>
  </si>
  <si>
    <t>Baki Demirbaş</t>
  </si>
  <si>
    <t>Atatürk Mahallesi, Alparslan Türkeş Caddesi, No: 1, Çubuk / Ankara</t>
  </si>
  <si>
    <t>0312 837 10 73</t>
  </si>
  <si>
    <t>akmasa@cubuk.bel.tr</t>
  </si>
  <si>
    <t>https://www.cubuk.bel.tr</t>
  </si>
  <si>
    <t>Elmadağ</t>
  </si>
  <si>
    <t>Adem Barış Aşkın</t>
  </si>
  <si>
    <t>Yenice Mahallesi, İnönü Caddesi, No: 59, Elmadağ / ANKARA</t>
  </si>
  <si>
    <t>0312 863 06 50</t>
  </si>
  <si>
    <t>info@elmadag.bel.tr</t>
  </si>
  <si>
    <t>https://www.elmadag.bel.tr</t>
  </si>
  <si>
    <t>Etimesgut</t>
  </si>
  <si>
    <t>Erdal Beşikcioğlu</t>
  </si>
  <si>
    <t>30 Ağustos Mah. Şehit Hasan Öztürk Cad. No: 5, 06794 Etimesgut / ANKARA</t>
  </si>
  <si>
    <t>0312 246 11 00</t>
  </si>
  <si>
    <t>etimesgut@etimesgut.bel.tr</t>
  </si>
  <si>
    <t>https://www.etimesgut.bel.tr</t>
  </si>
  <si>
    <t>Evren</t>
  </si>
  <si>
    <t>Hüsamettin Ünsal</t>
  </si>
  <si>
    <t>Şerafettin Yılmaz Mahallesi, Cumhuriyet Caddesi, No:25, Evren / Ankara</t>
  </si>
  <si>
    <t>0312 893 50 01</t>
  </si>
  <si>
    <t>iletisim@evren.bel.tr</t>
  </si>
  <si>
    <t>http://www.evren.bel.tr</t>
  </si>
  <si>
    <t>Yakup Odabaşı</t>
  </si>
  <si>
    <t>G.O.P. Mah. Sahil Cad. No:3, 06830 Gölbaşı / ANKARA</t>
  </si>
  <si>
    <t>0312 485 55 55</t>
  </si>
  <si>
    <t>info@ankaragolbasi.bel.tr</t>
  </si>
  <si>
    <t>https://www.ankaragolbasi.bel.tr</t>
  </si>
  <si>
    <t>Güdül</t>
  </si>
  <si>
    <t>Mehmet Doğanay</t>
  </si>
  <si>
    <t>Yeni Mahalle, Ordu Caddesi No:24, 06840 Güdül/Ankara</t>
  </si>
  <si>
    <t>0312 728 10 09</t>
  </si>
  <si>
    <t>bilgi@gudul.bel.tr</t>
  </si>
  <si>
    <t>http://www.gudul.bel.tr</t>
  </si>
  <si>
    <t>Haymana</t>
  </si>
  <si>
    <t>Levent Koç</t>
  </si>
  <si>
    <t>Ankara Caddesi, Belediye Sarayı, Haymana / ANKARA</t>
  </si>
  <si>
    <t>0312 658 10 07</t>
  </si>
  <si>
    <t>haymana@haymana.bel.tr</t>
  </si>
  <si>
    <t>http://www.haymana.bel.tr</t>
  </si>
  <si>
    <t>Kahramankazan</t>
  </si>
  <si>
    <t>Selim Çırpanoğlu</t>
  </si>
  <si>
    <t>Atatürk, Ankara Blv. No:105, 06980 Kahramankazan/Ankara</t>
  </si>
  <si>
    <t>0312 814 53 00</t>
  </si>
  <si>
    <t>info@kahramankazan.bel.tr</t>
  </si>
  <si>
    <t>https://www.kahramankazan.bel.tr</t>
  </si>
  <si>
    <t>Kalecik</t>
  </si>
  <si>
    <t>Satılmış Karakoç</t>
  </si>
  <si>
    <t>Yenidoğan Yeşilyurt Mahallesi, Hüseyin Sağırkaya Bulvarı, No: 39, Kalecik / ANKARA</t>
  </si>
  <si>
    <t>0312 857 15 20</t>
  </si>
  <si>
    <t>bilgi@kalecik.bel.tr</t>
  </si>
  <si>
    <t>https://www.kalecik.bel.tr</t>
  </si>
  <si>
    <t>Keçiören</t>
  </si>
  <si>
    <t>Mesut Özarslan</t>
  </si>
  <si>
    <t>Cumhuriyet Cad. No:1, Kalaba Kent Meydanı, Keçiören / ANKARA</t>
  </si>
  <si>
    <t>0312 361 10 65</t>
  </si>
  <si>
    <t>netmasa@kecioren.bel.tr</t>
  </si>
  <si>
    <t>https://www.kecioren.bel.tr</t>
  </si>
  <si>
    <t>Kızılcahamam</t>
  </si>
  <si>
    <t>Süleyman Acar</t>
  </si>
  <si>
    <t>Yenice Mahallesi, Cengiz Topel Caddesi, No: 8, Kızılcahamam / ANKARA</t>
  </si>
  <si>
    <t>0312 736 10 30</t>
  </si>
  <si>
    <t>bilgi@kizilcahamam.bel.tr</t>
  </si>
  <si>
    <t>http://www.kizilcahamam.bel.tr</t>
  </si>
  <si>
    <t>Mamak</t>
  </si>
  <si>
    <t>Veli Gündüz Şahin</t>
  </si>
  <si>
    <t>Mamak Caddesi No: 181, Hüseyingazi Mahallesi, 06260 Mamak / Ankara</t>
  </si>
  <si>
    <t>0312 550 70 00</t>
  </si>
  <si>
    <t>beyazmasa@mamak.bel.tr</t>
  </si>
  <si>
    <t>https://www.mamak.bel.tr</t>
  </si>
  <si>
    <t>Nallıhan</t>
  </si>
  <si>
    <t>Ertunç Güngör</t>
  </si>
  <si>
    <t>Aliağa Mah. Bursa Cad. No:34, 06920 Nallıhan / Ankara</t>
  </si>
  <si>
    <t>0312 785 10 11</t>
  </si>
  <si>
    <t>belediye@nallihan.bel.tr</t>
  </si>
  <si>
    <t>https://www.nallihan.bel.tr</t>
  </si>
  <si>
    <t>Polatlı</t>
  </si>
  <si>
    <t>Mürsel Yıldızkaya</t>
  </si>
  <si>
    <t>Esentepe Mahallesi, Nasreddin Hoca Bulvarı, No: 5, 06900 Polatlı / Ankara</t>
  </si>
  <si>
    <t>0312 622 06 06</t>
  </si>
  <si>
    <t>belediye@polatli.bel.tr</t>
  </si>
  <si>
    <t>http://www.polatli.bel.tr</t>
  </si>
  <si>
    <t>Pursaklar</t>
  </si>
  <si>
    <t>Ertuğrul Çetin</t>
  </si>
  <si>
    <t>Tevfik İleri Mah. Emek Cad. No:8 Pursaklar / Ankara</t>
  </si>
  <si>
    <t>444 9 709</t>
  </si>
  <si>
    <t>https://www.pursaklar.bel.tr</t>
  </si>
  <si>
    <t>Sincan</t>
  </si>
  <si>
    <t>Murat Ercan</t>
  </si>
  <si>
    <t>Ahi Evran Mahallesi, 185. Cadde No:2, Sincan / Ankara</t>
  </si>
  <si>
    <t>444 4 762</t>
  </si>
  <si>
    <t>bilgi@sincan.bel.tr</t>
  </si>
  <si>
    <t>https://www.sincan.bel.tr</t>
  </si>
  <si>
    <t>Şereflikoçhisar</t>
  </si>
  <si>
    <t>Mustafa Koçak</t>
  </si>
  <si>
    <t>Yeni Mahalle, Ankara Caddesi No: 116, Şereflikoçhisar / Ankara</t>
  </si>
  <si>
    <t>0312 687 17 44</t>
  </si>
  <si>
    <t>info@sereflikochisar.bel.tr</t>
  </si>
  <si>
    <t>https://www.sereflikochisar.bel.tr</t>
  </si>
  <si>
    <t>Yenimahalle</t>
  </si>
  <si>
    <t>Fethi Yaşar</t>
  </si>
  <si>
    <t>Gayret Mah. İvedik Caddesi No: 25, Yenimahalle / ANKARA</t>
  </si>
  <si>
    <t>0312 526 26 26</t>
  </si>
  <si>
    <t>eislem@yenimahalle.bel.tr</t>
  </si>
  <si>
    <t>https://www.yenimahalle.bel.tr</t>
  </si>
  <si>
    <t>Antalya</t>
  </si>
  <si>
    <t>Akseki</t>
  </si>
  <si>
    <t>İlkay Akca</t>
  </si>
  <si>
    <t>Boğaz Mahallesi, Rasih Kaplan Caddesi, No:39, Akseki / ANTALYA</t>
  </si>
  <si>
    <t>0242 678 10 08</t>
  </si>
  <si>
    <t>info@akseki.bel.tr</t>
  </si>
  <si>
    <t>http://akseki.bel.tr</t>
  </si>
  <si>
    <t>Aksu</t>
  </si>
  <si>
    <t>İsa Yıldırım</t>
  </si>
  <si>
    <t>Çalkaya Mah. 28110 Sok. No:6 Aksu Belediye Sarayı, Aksu / ANTALYA</t>
  </si>
  <si>
    <t>0242 426 30 49</t>
  </si>
  <si>
    <t>info@aksu.bel.tr</t>
  </si>
  <si>
    <t>https://www.aksu.bel.tr</t>
  </si>
  <si>
    <t>Alanya</t>
  </si>
  <si>
    <t>Osman Tarık Özçelik</t>
  </si>
  <si>
    <t>Cumhuriyet Mahallesi, Eğri Köprü Caddesi, No:66, Alanya/Antalya</t>
  </si>
  <si>
    <t>444 82 07</t>
  </si>
  <si>
    <t>info@alanya.bel.tr</t>
  </si>
  <si>
    <t>https://www.alanya.bel.tr</t>
  </si>
  <si>
    <t>Demre</t>
  </si>
  <si>
    <t>Süleyman Topuz</t>
  </si>
  <si>
    <t>Gökyazı Mahallesi, Mustafa Masatlı Caddesi, No: 1, Demre / Antalya</t>
  </si>
  <si>
    <t>444 15 07</t>
  </si>
  <si>
    <t>info@demre.bel.tr</t>
  </si>
  <si>
    <t>https://www.demre.bel.tr</t>
  </si>
  <si>
    <t>Döşemealtı</t>
  </si>
  <si>
    <t>Menderes Dal</t>
  </si>
  <si>
    <t>Yeniköy Mahallesi, Atatürk Caddesi, No: 521, Döşemealtı / ANTALYA</t>
  </si>
  <si>
    <t>444 0 507</t>
  </si>
  <si>
    <t>bilgi@dosemealti.bel.tr</t>
  </si>
  <si>
    <t>https://www.dosemealti.bel.tr</t>
  </si>
  <si>
    <t>Elmalı</t>
  </si>
  <si>
    <t>Halil Öztürk</t>
  </si>
  <si>
    <t>Karyağdı Mah. Atatürk Cad. No:59, 07700 Elmalı/Antalya</t>
  </si>
  <si>
    <t>0242 618 67 01</t>
  </si>
  <si>
    <t>info@elmali.bel.tr</t>
  </si>
  <si>
    <t>https://www.elmali.bel.tr</t>
  </si>
  <si>
    <t>Finike</t>
  </si>
  <si>
    <t>Mustafa Geyikçi</t>
  </si>
  <si>
    <t>Eski Mahalle, 109. Sokak, No: 1, Finike / Antalya</t>
  </si>
  <si>
    <t>444 9 855</t>
  </si>
  <si>
    <t>info@finike.bel.tr</t>
  </si>
  <si>
    <t>https://www.finike.bel.tr</t>
  </si>
  <si>
    <t>Gazipaşa</t>
  </si>
  <si>
    <t>Mehmet Ali Yılmaz</t>
  </si>
  <si>
    <t>Yeni Mahalle, İnönü Caddesi, Cumhuriyet Meydanı, No:5, Gazipaşa / ANTALYA</t>
  </si>
  <si>
    <t>0242 572 10 13</t>
  </si>
  <si>
    <t>info@gazipasa.bel.tr</t>
  </si>
  <si>
    <t>https://www.gazipasa.bel.tr</t>
  </si>
  <si>
    <t>Gündoğmuş</t>
  </si>
  <si>
    <t>Nurettin Sönmez</t>
  </si>
  <si>
    <t>Fatih Mahallesi, Alparslan Türkeş Caddesi, No: 37, Gündoğmuş / ANTALYA</t>
  </si>
  <si>
    <t>(0242) 781 20 11</t>
  </si>
  <si>
    <t>buroyazi07@gmail.com</t>
  </si>
  <si>
    <t>http://www.gundogmus.bel.tr</t>
  </si>
  <si>
    <t>İbradı</t>
  </si>
  <si>
    <t>Mehmet Ali Coşkun</t>
  </si>
  <si>
    <t>Aşağı Mahalle, Atatürk Caddesi, No: 34, İbradı / ANTALYA</t>
  </si>
  <si>
    <t>0242 691 20 04</t>
  </si>
  <si>
    <t>info@ibradi.bel.tr</t>
  </si>
  <si>
    <t>https://www.ibradi.bel.tr</t>
  </si>
  <si>
    <t>Kaş</t>
  </si>
  <si>
    <t>Erol Demirhan</t>
  </si>
  <si>
    <t>Andifli Mah. Atatürk Bulvarı No: 18 Kaş/Antalya</t>
  </si>
  <si>
    <t>444 0 711</t>
  </si>
  <si>
    <t>info@kas.bel.tr</t>
  </si>
  <si>
    <t>https://www.kas.bel.tr</t>
  </si>
  <si>
    <t>Kemer</t>
  </si>
  <si>
    <t>Necati Topaloğlu</t>
  </si>
  <si>
    <t>Yalı Caddesi No:1, Kemer / Antalya</t>
  </si>
  <si>
    <t>444 0 297</t>
  </si>
  <si>
    <t>info@kemer.bel.tr</t>
  </si>
  <si>
    <t>https://www.kemer.bel.tr</t>
  </si>
  <si>
    <t>Kepez</t>
  </si>
  <si>
    <t>Mesut Kocagöz</t>
  </si>
  <si>
    <t>Teomanpaşa Mahallesi, Yeşilırmak Caddesi, No:4, Kepez / ANTALYA</t>
  </si>
  <si>
    <t>444 6 007</t>
  </si>
  <si>
    <t>info@kepez-bld.gov.tr</t>
  </si>
  <si>
    <t>https://www.kepez-bld.gov.tr</t>
  </si>
  <si>
    <t>Konyaaltı</t>
  </si>
  <si>
    <t>Cem Kotan</t>
  </si>
  <si>
    <t>Kuşkavağı Mahallesi, Belediye Caddesi, No:77, Konyaaltı / Antalya</t>
  </si>
  <si>
    <t>0242 245 55 00</t>
  </si>
  <si>
    <t>info@konyaalti.bel.tr</t>
  </si>
  <si>
    <t>https://www.konyaalti.bel.tr</t>
  </si>
  <si>
    <t>Korkuteli</t>
  </si>
  <si>
    <t>Saniye Caran</t>
  </si>
  <si>
    <t>Kiremitli Mahallesi, Belediye Caddesi, No:1, Korkuteli/Antalya</t>
  </si>
  <si>
    <t>0242 643 60 11</t>
  </si>
  <si>
    <t>info@korkuteli.bel.tr</t>
  </si>
  <si>
    <t>https://www.korkuteli.bel.tr</t>
  </si>
  <si>
    <t>Kumluca</t>
  </si>
  <si>
    <t>Mesut Avcıoğlu</t>
  </si>
  <si>
    <t>Merkez Mah. Halil Çıvgın Cd. No:5, 07350 Kumluca / ANTALYA</t>
  </si>
  <si>
    <t>0242 887 55 55</t>
  </si>
  <si>
    <t>belediye@kumluca-bld.gov.tr</t>
  </si>
  <si>
    <t>https://www.kumluca.bel.tr</t>
  </si>
  <si>
    <t>Manavgat</t>
  </si>
  <si>
    <t>Niyazi Nefi Kara</t>
  </si>
  <si>
    <t>Yukarı Pazarcı Mahallesi, 4010 Sokak No:1, Manavgat / ANTALYA</t>
  </si>
  <si>
    <t>0242 742 80 00</t>
  </si>
  <si>
    <t>belediye@manavgat.bel.tr</t>
  </si>
  <si>
    <t>https://www.manavgat.bel.tr</t>
  </si>
  <si>
    <t>Muratpaşa</t>
  </si>
  <si>
    <t>Ümit Uysal</t>
  </si>
  <si>
    <t>Fener Mahallesi, Tekelioğlu Caddesi, No:63, 07160 Muratpaşa / ANTALYA</t>
  </si>
  <si>
    <t>0242 320 22 22</t>
  </si>
  <si>
    <t>info@muratpasa-bld.gov.tr</t>
  </si>
  <si>
    <t>https://www.muratpasa-bld.gov.tr</t>
  </si>
  <si>
    <t>Serik</t>
  </si>
  <si>
    <t>Kadir Kumbul</t>
  </si>
  <si>
    <t>Orta Mah. Kızderesi Cad. No:25, 07500 Serik / Antalya</t>
  </si>
  <si>
    <t>444 9 722</t>
  </si>
  <si>
    <t>serik@serik.bel.tr</t>
  </si>
  <si>
    <t>https://www.serik.bel.tr</t>
  </si>
  <si>
    <t>Artvin</t>
  </si>
  <si>
    <t>Bilgehan Erdem</t>
  </si>
  <si>
    <t>Çarşı Mahallesi, İnönü Cd. No: 08, PK: 08000 Merkez/Artvin</t>
  </si>
  <si>
    <t>444 70 08</t>
  </si>
  <si>
    <t>artvin@artvin.bel.tr</t>
  </si>
  <si>
    <t>https://artvin.bel.tr/</t>
  </si>
  <si>
    <t>Ardanuç</t>
  </si>
  <si>
    <t>Emrah Yılmaz</t>
  </si>
  <si>
    <t>Merkez Mah., Hükümet Cad., No:1, Ardanuç/Artvin</t>
  </si>
  <si>
    <t>0466 611 20 11</t>
  </si>
  <si>
    <t>ardanuc.bel.tr</t>
  </si>
  <si>
    <t>Arhavi</t>
  </si>
  <si>
    <t>Turgay Ataselim</t>
  </si>
  <si>
    <t>Musazade Mahallesi, Şehit Asteğmen Mehmet Altanlar Caddesi, No: 1/1, Arhavi / Artvin</t>
  </si>
  <si>
    <t>0 466 312 40 06</t>
  </si>
  <si>
    <t>iletisim@arhavi.bel.tr</t>
  </si>
  <si>
    <t>https://arhavi.bel.tr</t>
  </si>
  <si>
    <t>Borçka</t>
  </si>
  <si>
    <t>Ercan Orhan</t>
  </si>
  <si>
    <t>Merkez Mahallesi, Çoruh Caddesi, No: 46, Borçka / Artvin</t>
  </si>
  <si>
    <t>0 466 415 10 33</t>
  </si>
  <si>
    <t>bilgi@borcka.bel.tr</t>
  </si>
  <si>
    <t>http://www.borcka.bel.tr</t>
  </si>
  <si>
    <t>Hopa</t>
  </si>
  <si>
    <t>Dr. Utku Cihan</t>
  </si>
  <si>
    <t>Kuledibi Mahallesi, Turgay Ciner Caddesi No:4/B, 08600 Hopa/Artvin</t>
  </si>
  <si>
    <t>0 (466) 351 40 20</t>
  </si>
  <si>
    <t>belediyebilgi@hopa.bel.tr</t>
  </si>
  <si>
    <t>https://hopa.bel.tr/</t>
  </si>
  <si>
    <t>Kemalpaşa</t>
  </si>
  <si>
    <t>Erhan Yılmaz</t>
  </si>
  <si>
    <t>Gazeteci Uğur Mumcu Caddesi, 08610 Kemalpaşa / ARTVİN</t>
  </si>
  <si>
    <t>0466 361 22 97</t>
  </si>
  <si>
    <t>yaziisleri@kemalpasa.bel.tr</t>
  </si>
  <si>
    <t>http://www.kemalpasa.bel.tr</t>
  </si>
  <si>
    <t>Murgul</t>
  </si>
  <si>
    <t>Mehmet Yıldırım</t>
  </si>
  <si>
    <t>Küre Mahallesi, Cumhuriyet Caddesi, No: 103/A, Murgul / Artvin</t>
  </si>
  <si>
    <t>0466 711 30 11</t>
  </si>
  <si>
    <t>info@murgul.bel.tr</t>
  </si>
  <si>
    <t>http://www.murgul.bel.tr</t>
  </si>
  <si>
    <t>Şavşat</t>
  </si>
  <si>
    <t>Durmuş Aydın</t>
  </si>
  <si>
    <t>Yeniköy Mahallesi, Yeni Cadde, No: 30, Şavşat/Artvin</t>
  </si>
  <si>
    <t>0466 517 14 44</t>
  </si>
  <si>
    <t>savsat@savsat.bel.tr</t>
  </si>
  <si>
    <t>https://www.savsat.bel.tr</t>
  </si>
  <si>
    <t>Yusufeli</t>
  </si>
  <si>
    <t>Barış Demirci</t>
  </si>
  <si>
    <t>Çoruh Mahallesi, Ahmet Yaralı Sokak, No: 1, Yusufeli / Artvin</t>
  </si>
  <si>
    <t>0466 811 20 09</t>
  </si>
  <si>
    <t>yusufeli@yusufeli.bel.tr</t>
  </si>
  <si>
    <t>http://www.yusufeli.bel.tr</t>
  </si>
  <si>
    <t>Aydın</t>
  </si>
  <si>
    <t>Efeler</t>
  </si>
  <si>
    <t>Anıl Yetişkin</t>
  </si>
  <si>
    <t>Yedi Eylül Mahallesi, İzmir Bulvarı No: 5, Efeler/Aydın</t>
  </si>
  <si>
    <t>444 80 09</t>
  </si>
  <si>
    <t>efeler@efeler.bel.tr</t>
  </si>
  <si>
    <t>https://www.efeler.bel.tr</t>
  </si>
  <si>
    <t>Bozdoğan</t>
  </si>
  <si>
    <t>Mustafa Galip Özel</t>
  </si>
  <si>
    <t>Yeni Mahalle, Yazıkent Caddesi No: 86, 09760 Bozdoğan/AYDIN</t>
  </si>
  <si>
    <t>0256 414 10 08</t>
  </si>
  <si>
    <t>bilgi@bozdogan.bel.tr</t>
  </si>
  <si>
    <t>https://www.bozdogan.bel.tr</t>
  </si>
  <si>
    <t>Buharkent</t>
  </si>
  <si>
    <t>Mehmet Erol</t>
  </si>
  <si>
    <t>Kamilpaşa Mah. Atatürk Cad. No:73, 09670 Buharkent/AYDIN</t>
  </si>
  <si>
    <t>0256 391 30 05</t>
  </si>
  <si>
    <t>bilgi@buharkent.bel.tr</t>
  </si>
  <si>
    <t>https://www.buharkent.bel.tr</t>
  </si>
  <si>
    <t>Çine</t>
  </si>
  <si>
    <t>Mehmet Kıvrak</t>
  </si>
  <si>
    <t>Hamitabat Mahallesi, 192. Sokak No: 2, Çine/AYDIN</t>
  </si>
  <si>
    <t>0 256 711 60 28</t>
  </si>
  <si>
    <t>cinebelediyesi@cine.bel.tr</t>
  </si>
  <si>
    <t>https://www.cine.bel.tr</t>
  </si>
  <si>
    <t>Didim</t>
  </si>
  <si>
    <t>Hatice Gençay</t>
  </si>
  <si>
    <t>Cumhuriyet Mahallesi, İnönü Bulvarı, No: 269, Didim/Aydın</t>
  </si>
  <si>
    <t>0256 811 26 60</t>
  </si>
  <si>
    <t>info@didim.bel.tr</t>
  </si>
  <si>
    <t>https://www.didim.bel.tr</t>
  </si>
  <si>
    <t>Germencik</t>
  </si>
  <si>
    <t>Burak Zencirci</t>
  </si>
  <si>
    <t>Yedieylül Mahallesi, Köprülü Mehmet Paşa Sokak No: 16, Germencik/AYDIN</t>
  </si>
  <si>
    <t>0256 563 01 20</t>
  </si>
  <si>
    <t>germencikbelediyesi@germencik.bel.tr</t>
  </si>
  <si>
    <t>https://www.germencik.bel.tr</t>
  </si>
  <si>
    <t>İncirliova</t>
  </si>
  <si>
    <t>Aytekin Kaya</t>
  </si>
  <si>
    <t>Cumhuriyet Mahallesi, Prof. Dr. Türkan Saylan Caddesi No: 45, İncirliova/Aydın</t>
  </si>
  <si>
    <t>0 256 585 12 24</t>
  </si>
  <si>
    <t>info@incirliova.bel.tr</t>
  </si>
  <si>
    <t>https://www.incirliova.bel.tr</t>
  </si>
  <si>
    <t>Karacasu</t>
  </si>
  <si>
    <t>Mustafa Büyükyapıcı</t>
  </si>
  <si>
    <t>Yaylalı Mahallesi, 24. Sokak No: 2, Karacasu/AYDIN</t>
  </si>
  <si>
    <t>0256 441 20 11</t>
  </si>
  <si>
    <t>info@karacasu.bel.tr</t>
  </si>
  <si>
    <t>https://www.karacasu.bel.tr</t>
  </si>
  <si>
    <t>Karpuzlu</t>
  </si>
  <si>
    <t>Hilmi Dönmez</t>
  </si>
  <si>
    <t>Yeni Mahalle, Cumhuriyet Caddesi No: 102, 09540 Karpuzlu/AYDIN</t>
  </si>
  <si>
    <t>0256 741 20 03</t>
  </si>
  <si>
    <t>bilgi@karpuzlu.bel.tr</t>
  </si>
  <si>
    <t>https://www.karpuzlu.bel.tr</t>
  </si>
  <si>
    <t>Koçarlı</t>
  </si>
  <si>
    <t>Özgür Arıcı</t>
  </si>
  <si>
    <t>Orta Mahalle, Cumhuriyet Meydanı No: 6/D, Koçarlı/Aydın</t>
  </si>
  <si>
    <t>0256 761 40 24</t>
  </si>
  <si>
    <t>iletisim@kocarli.bel.tr</t>
  </si>
  <si>
    <t>https://www.kocarli.bel.tr</t>
  </si>
  <si>
    <t>Köşk</t>
  </si>
  <si>
    <t>Nuri Güler</t>
  </si>
  <si>
    <t>Altıeylül Mahallesi, Dalama Caddesi No: 1, 09570 Köşk/Aydın</t>
  </si>
  <si>
    <t>0 (256) 461 30 10</t>
  </si>
  <si>
    <t>bilgi@kosk.bel.tr</t>
  </si>
  <si>
    <t>https://www.kosk.bel.tr</t>
  </si>
  <si>
    <t>Kuşadası</t>
  </si>
  <si>
    <t>Ömer Günel</t>
  </si>
  <si>
    <t>Türkmen Mahallesi, Atatürk Bulvarı No: 50/7, 09400 Kuşadası/AYDIN</t>
  </si>
  <si>
    <t>0 256 460 40 40</t>
  </si>
  <si>
    <t>info@kusadasi.bel.tr</t>
  </si>
  <si>
    <t>https://www.kusadasi.bel.tr</t>
  </si>
  <si>
    <t>Kuyucak</t>
  </si>
  <si>
    <t>Uğur Doğanca</t>
  </si>
  <si>
    <t>Beşeylül Mahallesi, İnönü 1. Caddesi No: 79, Kuyucak/Aydın</t>
  </si>
  <si>
    <t>0256 371 44 94</t>
  </si>
  <si>
    <t>bilgi@kuyucak.bel.tr</t>
  </si>
  <si>
    <t>https://www.kuyucak.bel.tr</t>
  </si>
  <si>
    <t>Nazilli</t>
  </si>
  <si>
    <t>Ertuğrul Tetik</t>
  </si>
  <si>
    <t>Yeni Mahalle, Hürriyet Caddesi, Belediye Hizmet Binası 09800 Nazilli/Aydın</t>
  </si>
  <si>
    <t>444 1 391</t>
  </si>
  <si>
    <t>info@nazilli.bel.tr</t>
  </si>
  <si>
    <t>https://www.nazilli.bel.tr</t>
  </si>
  <si>
    <t>Söke</t>
  </si>
  <si>
    <t>Mustafa İberya Arıkan</t>
  </si>
  <si>
    <t>Konak Mahallesi, Saraçlar Caddesi No: 19, 09200 Söke/Aydın</t>
  </si>
  <si>
    <t>0 256 518 23 11</t>
  </si>
  <si>
    <t>info@soke.bel.tr</t>
  </si>
  <si>
    <t>https://www.soke.bel.tr</t>
  </si>
  <si>
    <t>Sultanhisar</t>
  </si>
  <si>
    <t>Osman Yıldırımkaya</t>
  </si>
  <si>
    <t>Kurtuluş Mahallesi, Cumhuriyet Meydanı, Belediye Hizmet Binası No: 2, Sultanhisar/AYDIN</t>
  </si>
  <si>
    <t>0 (256) 351 30 06</t>
  </si>
  <si>
    <t>info@sultanhisar.bel.tr</t>
  </si>
  <si>
    <t>https://www.sultanhisar.bel.tr</t>
  </si>
  <si>
    <t>Yenipazar</t>
  </si>
  <si>
    <t>Malik Ercan</t>
  </si>
  <si>
    <t>Yeni Mahalle, Yörük Ali Efe Caddesi, Sarmaşık Sokak No: 5, Yenipazar/AYDIN</t>
  </si>
  <si>
    <t>0 (256) 361 30 40</t>
  </si>
  <si>
    <t>info@yenipazar.bel.tr</t>
  </si>
  <si>
    <t>https://www.yenipazar.bel.tr</t>
  </si>
  <si>
    <t>Balıkesir</t>
  </si>
  <si>
    <t>Altıeylül</t>
  </si>
  <si>
    <t>Hakan Şehirli</t>
  </si>
  <si>
    <t>2. Gündoğan Mahallesi Cengiz Topel Caddesi No:175 10040 Altıeylül/Balıkesir</t>
  </si>
  <si>
    <t>0266 241 00 10</t>
  </si>
  <si>
    <t>altieylul@altieylul.bel.tr</t>
  </si>
  <si>
    <t>https://www.altieylul.bel.tr</t>
  </si>
  <si>
    <t>Karesi</t>
  </si>
  <si>
    <t>Mesut Akbıyık</t>
  </si>
  <si>
    <t>Mirzabey Mahallesi Dr. Ahmet Toprak Caddesi No:119 Karesi/Balıkesir</t>
  </si>
  <si>
    <t>444 99 10</t>
  </si>
  <si>
    <t>cm@karesi.bel.tr</t>
  </si>
  <si>
    <t>https://www.karesi.bel.tr</t>
  </si>
  <si>
    <t>Ayvalık</t>
  </si>
  <si>
    <t>Mesut Ergin</t>
  </si>
  <si>
    <t>Sakarya Mahallesi Atatürk Bulvarı No:277 Ayvalık/Balıkesir</t>
  </si>
  <si>
    <t>444 10 66</t>
  </si>
  <si>
    <t>info@ayvalik.bel.tr</t>
  </si>
  <si>
    <t>https://ayvalik.bel.tr</t>
  </si>
  <si>
    <t>Balya</t>
  </si>
  <si>
    <t>Orhan Gaga</t>
  </si>
  <si>
    <t>Enverpaşa Mahallesi Atatürk Caddesi No:1 Balya/Balıkesir</t>
  </si>
  <si>
    <t>0266 486 10 01</t>
  </si>
  <si>
    <t>info@balya.bel.tr</t>
  </si>
  <si>
    <t>https://balya.bel.tr</t>
  </si>
  <si>
    <t>Bandırma</t>
  </si>
  <si>
    <t>Tolga Tosun</t>
  </si>
  <si>
    <t>17 Eylül Mahallesi Atatürk Caddesi No:88 Bandırma/Balıkesir</t>
  </si>
  <si>
    <t>444 7 105</t>
  </si>
  <si>
    <t>halk.masasi@bandirma.bel.tr</t>
  </si>
  <si>
    <t>https://bandirma.bel.tr</t>
  </si>
  <si>
    <t>Bigadiç</t>
  </si>
  <si>
    <t>Mustafa Göksel</t>
  </si>
  <si>
    <t>Fethibey Mahallesi Atatürk Cad. No:212 10440 Bigadiç/Balıkesir</t>
  </si>
  <si>
    <t>0266 614 12 09</t>
  </si>
  <si>
    <t>baskan@bigadic.bel.tr</t>
  </si>
  <si>
    <t>https://bigadic.bel.tr</t>
  </si>
  <si>
    <t>Burhaniye</t>
  </si>
  <si>
    <t>Ali Kemal Deveciler</t>
  </si>
  <si>
    <t>Mahkeme Mahallesi, Hürriyet Caddesi, No: 24, Burhaniye / Balıkesir</t>
  </si>
  <si>
    <t>0266 412 64 50</t>
  </si>
  <si>
    <t>bilgi@burhaniye.bel.tr</t>
  </si>
  <si>
    <t>https://burhaniye.bel.tr</t>
  </si>
  <si>
    <t>Dursunbey</t>
  </si>
  <si>
    <t>Ramazan Bahçavan</t>
  </si>
  <si>
    <t>Mollaoğlu Mahallesi Balıkesir Caddesi No:20/B Dursunbey/Balıkesir</t>
  </si>
  <si>
    <t>0266 662 36 62</t>
  </si>
  <si>
    <t>basin@dursunbey.bel.tr</t>
  </si>
  <si>
    <t>https://dursunbey.bel.tr</t>
  </si>
  <si>
    <t>Edremit</t>
  </si>
  <si>
    <t>Mehmet Ertaş</t>
  </si>
  <si>
    <t>Soğanyemez Mahallesi Yılmaz Akpınar Bulvarı No:7/B Edremit/Balıkesir</t>
  </si>
  <si>
    <t>444 85 10</t>
  </si>
  <si>
    <t>info@edremit.bel.tr</t>
  </si>
  <si>
    <t>https://edremit.bel.tr</t>
  </si>
  <si>
    <t>Erdek</t>
  </si>
  <si>
    <t>Burhan Karışık</t>
  </si>
  <si>
    <t>Yalı Mahallesi Pazar Caddesi No:14 Erdek/Balıkesir</t>
  </si>
  <si>
    <t>0266 835 10 50</t>
  </si>
  <si>
    <t>erdek@erdek.bel.tr</t>
  </si>
  <si>
    <t>https://erdek.bel.tr</t>
  </si>
  <si>
    <t>Gömeç</t>
  </si>
  <si>
    <t>Melih Bağcı</t>
  </si>
  <si>
    <t>Mithatpaşa Mah. Atatürk Cad. No:72/1 10715 Gömeç/Balıkesir</t>
  </si>
  <si>
    <t>0266 357 10 53</t>
  </si>
  <si>
    <t>bilgi@gomec.bel.tr</t>
  </si>
  <si>
    <t>https://gomec.bel.tr</t>
  </si>
  <si>
    <t>Gönen</t>
  </si>
  <si>
    <t>İbrahim Palaz</t>
  </si>
  <si>
    <t>Malkoç Mah. Atatürk Cd. No:2 Gönen/Balıkesir 10900</t>
  </si>
  <si>
    <t>0266 762 18 45</t>
  </si>
  <si>
    <t>halkmasasi@balikesirgonen.bel.tr</t>
  </si>
  <si>
    <t>https://gonen.bel.tr</t>
  </si>
  <si>
    <t>Havran</t>
  </si>
  <si>
    <t>Emin Ersoy</t>
  </si>
  <si>
    <t>Hamambaşı Mahallesi Kızılay Meydanı No:10 Havran/Balıkesir</t>
  </si>
  <si>
    <t>0266 432 10 35</t>
  </si>
  <si>
    <t>bilgi@havran.bel.tr</t>
  </si>
  <si>
    <t>https://havran.bel.tr</t>
  </si>
  <si>
    <t>İvrindi</t>
  </si>
  <si>
    <t>Önder Lapanta</t>
  </si>
  <si>
    <t>Sakarya Mah. Hükümet Cd. No:68 10770 İvrindi/Balıkesir</t>
  </si>
  <si>
    <t>0266 456 10 04</t>
  </si>
  <si>
    <t>ivrindi@ivrindi.bel.tr</t>
  </si>
  <si>
    <t>https://ivrindi.bel.tr</t>
  </si>
  <si>
    <t>Kepsut</t>
  </si>
  <si>
    <t>İsmail Cankul</t>
  </si>
  <si>
    <t>Camicedit Mahallesi Cumhuriyet Meydanı No:2 Kepsut/Balıkesir</t>
  </si>
  <si>
    <t>0266 576 10 08</t>
  </si>
  <si>
    <t>info@kepsut.bel.tr</t>
  </si>
  <si>
    <t>https://kepsut.bel.tr</t>
  </si>
  <si>
    <t>Manyas</t>
  </si>
  <si>
    <t>Ahmet Duru</t>
  </si>
  <si>
    <t>Hükümet Cad. No:26 Manyas/Balıkesir</t>
  </si>
  <si>
    <t>0266 818 10 12</t>
  </si>
  <si>
    <t>info@manyas.bel.tr</t>
  </si>
  <si>
    <t>https://manyas.bel.tr</t>
  </si>
  <si>
    <t>Marmara</t>
  </si>
  <si>
    <t>Aydın Dinçer</t>
  </si>
  <si>
    <t>Cumhuriyet Mahallesi Cumhuriyet Meydanı No:5 Kat:2 Marmara Adası/Balıkesir</t>
  </si>
  <si>
    <t>0266 885 54 89</t>
  </si>
  <si>
    <t>info@marmara.bel.tr</t>
  </si>
  <si>
    <t>https://marmara.bel.tr</t>
  </si>
  <si>
    <t>Savaştepe</t>
  </si>
  <si>
    <t>Ali Koyuncu</t>
  </si>
  <si>
    <t>Cumhuriyet Mah. Cumhuriyet Meydanı No: 20, Savaştepe / Balıkesir</t>
  </si>
  <si>
    <t>0266 552 10 08</t>
  </si>
  <si>
    <t>info@savastepe.bel.tr</t>
  </si>
  <si>
    <t>https://savastepe.bel.tr</t>
  </si>
  <si>
    <t>Sındırgı</t>
  </si>
  <si>
    <t>Serkan Sak</t>
  </si>
  <si>
    <t>Camicedit Mahallesi Cumhuriyet Meydanı No:1 Sındırgı/Balıkesir</t>
  </si>
  <si>
    <t>0266 516 11 24</t>
  </si>
  <si>
    <t>belediye@sindirgi.bel.tr</t>
  </si>
  <si>
    <t>https://sindirgi.bel.tr</t>
  </si>
  <si>
    <t>Susurluk</t>
  </si>
  <si>
    <t>Hakan Yıldırım Semizel</t>
  </si>
  <si>
    <t>Han Mahallesi İstasyon Caddesi No:5 Susurluk/Balıkesir</t>
  </si>
  <si>
    <t>0266 865 19 10</t>
  </si>
  <si>
    <t>susurluk@susurluk.bel.tr</t>
  </si>
  <si>
    <t>https://susurluk.bel.tr</t>
  </si>
  <si>
    <t>Bilecik</t>
  </si>
  <si>
    <t>Melek Mızrak Subaşı</t>
  </si>
  <si>
    <t>İstiklal Mah. Ertuğrulgazi Cad. No:7 Merkez/Bilecik</t>
  </si>
  <si>
    <t>444 88 58</t>
  </si>
  <si>
    <t>basin@bilecik.bel.tr</t>
  </si>
  <si>
    <t>https://www.bilecik.bel.tr</t>
  </si>
  <si>
    <t>Bozüyük</t>
  </si>
  <si>
    <t>Mehmet Talat Bakkalcıoğlu</t>
  </si>
  <si>
    <t>Çarşı Mah. Ürgenpaşa Cad. No:1 Bozüyük/Bilecik</t>
  </si>
  <si>
    <t>0228 314 67 00</t>
  </si>
  <si>
    <t>info@bozuyuk.bel.tr</t>
  </si>
  <si>
    <t>https://www.bozuyuk.bel.tr</t>
  </si>
  <si>
    <t>Gölpazarı</t>
  </si>
  <si>
    <t>Hayri Suer</t>
  </si>
  <si>
    <t>Orta Mah. Bakan Fatih Dönmez Cad. No:22 Gölpazarı/Bilecik</t>
  </si>
  <si>
    <t>0228 411 38 33</t>
  </si>
  <si>
    <t>iletisim@golpazari.bel.tr</t>
  </si>
  <si>
    <t>https://www.golpazari.bel.tr</t>
  </si>
  <si>
    <t>İnhisar</t>
  </si>
  <si>
    <t>Nihal Arslan</t>
  </si>
  <si>
    <t>Zafer Mah. Cumhuriyet Meydanı No:11 İnhisar/Bilecik</t>
  </si>
  <si>
    <t>0228 371 22 53</t>
  </si>
  <si>
    <t>inhisar@inhisar.bel.tr</t>
  </si>
  <si>
    <t>http://www.inhisar.bel.tr</t>
  </si>
  <si>
    <t>Osmaneli</t>
  </si>
  <si>
    <t>Bekir Torun</t>
  </si>
  <si>
    <t>Camikebir Mah. Prof. Dr. Yunus Söylet Cad. No:32 Osmaneli/Bilecik</t>
  </si>
  <si>
    <t>0228 461 41 31</t>
  </si>
  <si>
    <t>info@osmaneli.bel.tr</t>
  </si>
  <si>
    <t>https://www.osmaneli.bel.tr</t>
  </si>
  <si>
    <t>Pazaryeri</t>
  </si>
  <si>
    <t>Zekiye Tekin</t>
  </si>
  <si>
    <t>Doğanlar Mah. Bursa Cad. No:1 11800 Pazaryeri/Bilecik</t>
  </si>
  <si>
    <t>0228 381 20 05</t>
  </si>
  <si>
    <t>info@pazaryeri.bel.tr</t>
  </si>
  <si>
    <t>https://www.pazaryeri.bel.tr</t>
  </si>
  <si>
    <t>Söğüt</t>
  </si>
  <si>
    <t>Ferhat Durgut</t>
  </si>
  <si>
    <t>Kayhan Mahallesi, Ertuğrulgazi Caddesi, No:34/b, Söğüt / Bilecik</t>
  </si>
  <si>
    <t>0228 361 32 76</t>
  </si>
  <si>
    <t>sogut@sogut.bel.tr</t>
  </si>
  <si>
    <t>https://sogut.bel.tr</t>
  </si>
  <si>
    <t>İlhan Özden</t>
  </si>
  <si>
    <t>Zafer Mah. Cumhuriyet Meydanı No:16 Yenipazar/Bilecik</t>
  </si>
  <si>
    <t>0228 431 22 10</t>
  </si>
  <si>
    <t>Bingöl</t>
  </si>
  <si>
    <t>Erdal Arıkan</t>
  </si>
  <si>
    <t>Yenişehir Mah. İstiklal Marşı Cad. No:3 Merkez/Bingöl</t>
  </si>
  <si>
    <t>+90 (426) 213 12 18</t>
  </si>
  <si>
    <t>iletisim@bingol.bel.tr</t>
  </si>
  <si>
    <t>www.bingol.bel.tr</t>
  </si>
  <si>
    <t>Adaklı</t>
  </si>
  <si>
    <t>Erdal Almalı</t>
  </si>
  <si>
    <t>Merkez, Cumhuriyet Cad. No:26, 12600 Adaklı/Bingöl</t>
  </si>
  <si>
    <t>0426 611 20 07</t>
  </si>
  <si>
    <t>www.adakli.bel.tr</t>
  </si>
  <si>
    <t>Genç</t>
  </si>
  <si>
    <t>Kemal Tartar</t>
  </si>
  <si>
    <t>Kültür Mah. Cumhuriyet Cad. No:128 12500 Genç/Bingöl</t>
  </si>
  <si>
    <t>0426 411 30 10</t>
  </si>
  <si>
    <t>iletisim@genc.bel.tr</t>
  </si>
  <si>
    <t>www.genc.bel.tr</t>
  </si>
  <si>
    <t>Karlıova</t>
  </si>
  <si>
    <t>Veysi Bingöl</t>
  </si>
  <si>
    <t>Kanıreş Mahallesi, Cumhuriyet Caddesi, Hükümet Konağı Kat: 2, No: 81, Karlıova/BİNGÖL</t>
  </si>
  <si>
    <t>0426 511 26 69</t>
  </si>
  <si>
    <t>karliova@karliova.bel.tr</t>
  </si>
  <si>
    <t>www.karliova.bel.tr</t>
  </si>
  <si>
    <t>Kiğı</t>
  </si>
  <si>
    <t>Hikmet Özüağ</t>
  </si>
  <si>
    <t>Yenişehir Mahallesi, Cumhuriyet Caddesi, No: 2, 12800 Kiğı / BİNGÖL</t>
  </si>
  <si>
    <t>0426 311 20 05</t>
  </si>
  <si>
    <t>iletisim@kigi.bel.tr</t>
  </si>
  <si>
    <t>www.kigi.bel.tr</t>
  </si>
  <si>
    <t>Solhan</t>
  </si>
  <si>
    <t>Abdulhakim Yıldız</t>
  </si>
  <si>
    <t>Şehit Savcı Mehmet Türksever Bulvarı, Yeni Mahalle, No: 122, Solhan / BİNGÖL</t>
  </si>
  <si>
    <t>0 (426) 711 20 13</t>
  </si>
  <si>
    <t>solhanbld@gmail.com</t>
  </si>
  <si>
    <t>solhan.bel.tr</t>
  </si>
  <si>
    <t>Yayladere</t>
  </si>
  <si>
    <t>Nadir Ergin</t>
  </si>
  <si>
    <t>Merkez Mah. Sülbüs Cad. No: 39, Yayladere / BİNGÖL</t>
  </si>
  <si>
    <t>0426 341 20 05</t>
  </si>
  <si>
    <t>bilgi@yayladere.bel.tr</t>
  </si>
  <si>
    <t>www.yayladere.bel.tr</t>
  </si>
  <si>
    <t>Yedisu</t>
  </si>
  <si>
    <t>Sedat Uçar</t>
  </si>
  <si>
    <t>Merkez Mahallesi, Vatan Caddesi, No: 38, Yedisu / Bingöl</t>
  </si>
  <si>
    <t>0426 371 70 07</t>
  </si>
  <si>
    <t>bilgi@yedisu.bel.tr</t>
  </si>
  <si>
    <t>www.yedisu.bel.tr</t>
  </si>
  <si>
    <t>Bitlis</t>
  </si>
  <si>
    <t>Nesrullah TANĞLAY</t>
  </si>
  <si>
    <t>Hüsrevpaşa Mahallesi, 1238 Sokak No:1A/1, 13000 Bitlis Merkez</t>
  </si>
  <si>
    <t>0434 228 63 10</t>
  </si>
  <si>
    <t>belediye@bitlis.bel.tr</t>
  </si>
  <si>
    <t>www.bitlis.bel.tr</t>
  </si>
  <si>
    <t>Adilcevaz</t>
  </si>
  <si>
    <t>Av. Abdullah AKBABA</t>
  </si>
  <si>
    <t>Orta Mahalle, Durak Caddesi No:15, 13500 Adilcevaz/Bitlis</t>
  </si>
  <si>
    <t>0434 311 30 08</t>
  </si>
  <si>
    <t>info@adilcevaz.bel.tr</t>
  </si>
  <si>
    <t>www.adilcevaz.bel.tr</t>
  </si>
  <si>
    <t>Ahlat</t>
  </si>
  <si>
    <t>Yavuz GÜLMEZ</t>
  </si>
  <si>
    <t>Erkizan Mahallesi, Mazlum Yegün Caddesi, 13400 Ahlat/Bitlis</t>
  </si>
  <si>
    <t>0434 412 41 13</t>
  </si>
  <si>
    <t>ahlat.bel.tr@gmail.com</t>
  </si>
  <si>
    <t>www.ahlat.bel.tr</t>
  </si>
  <si>
    <t>Güroymak</t>
  </si>
  <si>
    <t>Eşref MUTLU</t>
  </si>
  <si>
    <t>Bağlar Mahallesi, Ahmet Mücteba Albayrak Sokak No:21, Güroymak/Bitlis</t>
  </si>
  <si>
    <t>0434 511 24 01</t>
  </si>
  <si>
    <t>guroymak@guroymak.bel.tr</t>
  </si>
  <si>
    <t>www.guroymak.bel.tr</t>
  </si>
  <si>
    <t>Hizan</t>
  </si>
  <si>
    <t>Yahya ŞAM</t>
  </si>
  <si>
    <t>Kültür Mahallesi, Hükümet Caddesi, 13600 Hizan/Bitlis</t>
  </si>
  <si>
    <t>0434 611 20 07</t>
  </si>
  <si>
    <t>www.hizan.bel.tr</t>
  </si>
  <si>
    <t>Mutki</t>
  </si>
  <si>
    <t>Vahdettin BARLAK</t>
  </si>
  <si>
    <t>Pınarbaşı Mahallesi, Ali Akın Caddesi, No: 8, Mutki / Bitlis</t>
  </si>
  <si>
    <t>0434 711 20 96</t>
  </si>
  <si>
    <t>mutkibelediyesi@gmail.com</t>
  </si>
  <si>
    <t>www.mutki.bel.tr</t>
  </si>
  <si>
    <t>Tatvan</t>
  </si>
  <si>
    <t>Mümin EROL / Belkiza Beştaş EPÖZDEMİR (Eşbaşkanlar)</t>
  </si>
  <si>
    <t>Tuğ Mah. Hükümet Cad. No:1 Tatvan / BİTLİS</t>
  </si>
  <si>
    <t>0434 827 52 00</t>
  </si>
  <si>
    <t>admin@tatvan.bel.tr</t>
  </si>
  <si>
    <t>www.tatvan.bel.tr</t>
  </si>
  <si>
    <t>Bolu</t>
  </si>
  <si>
    <t>Tanju Özcan</t>
  </si>
  <si>
    <t>Büyükcami Mah. İzzet Baysal Cad. No:99, 14100 Bolu</t>
  </si>
  <si>
    <t>444 26 58</t>
  </si>
  <si>
    <t>www.bolu.bel.tr</t>
  </si>
  <si>
    <t>Dörtdivan</t>
  </si>
  <si>
    <t>Hamza Efe</t>
  </si>
  <si>
    <t>Atatürk Cad. No:2, 14910 Dörtdivan/Bolu</t>
  </si>
  <si>
    <t>0374 331 41 59</t>
  </si>
  <si>
    <t>bilgi@dortdivan.bel.tr</t>
  </si>
  <si>
    <t>www.dortdivan.bel.tr</t>
  </si>
  <si>
    <t>Gerede</t>
  </si>
  <si>
    <t>Mustafa Allar</t>
  </si>
  <si>
    <t>Kitirler Mah. Eski Hükümet Sok. No:2, Gerede/Bolu</t>
  </si>
  <si>
    <t>0374 311 67 00</t>
  </si>
  <si>
    <t>belediye@gerede.bel.tr</t>
  </si>
  <si>
    <t>www.gerede.bel.tr</t>
  </si>
  <si>
    <t>Göynük</t>
  </si>
  <si>
    <t>Ali Oral</t>
  </si>
  <si>
    <t>Yenice Mah. Şehit Mehmet Diri İş Hanı Kat:3, 14780 Göynük/Bolu</t>
  </si>
  <si>
    <t>0374 451 60 20</t>
  </si>
  <si>
    <t>info@goynuk.bel.tr</t>
  </si>
  <si>
    <t>www.goynuk.bel.tr</t>
  </si>
  <si>
    <t>Kıbrıscık</t>
  </si>
  <si>
    <t>Emin Tekemen</t>
  </si>
  <si>
    <t>Karadoğan Mah. Belediye Sok. No:4, 14610 Kıbrıscık/Bolu</t>
  </si>
  <si>
    <t>0374 441 23 94</t>
  </si>
  <si>
    <t>info@kibriscik.bel.tr</t>
  </si>
  <si>
    <t>www.kibriscik.bel.tr</t>
  </si>
  <si>
    <t>Mengen</t>
  </si>
  <si>
    <t>Vural Turan</t>
  </si>
  <si>
    <t>Türkbeyli Mah. Atatürk Cad., 14840 Mengen/Bolu</t>
  </si>
  <si>
    <t>0374 356 14 00</t>
  </si>
  <si>
    <t>info@mengen.bel.tr</t>
  </si>
  <si>
    <t>mengen.bel.tr</t>
  </si>
  <si>
    <t>Mudurnu</t>
  </si>
  <si>
    <t>Doğan Onurlu</t>
  </si>
  <si>
    <t>Seyrancık Mah. Belediye Cad. No:1, 14800 Mudurnu/Bolu</t>
  </si>
  <si>
    <t>0374 421 30 31</t>
  </si>
  <si>
    <t>bilgi@mudurnu.bel.tr</t>
  </si>
  <si>
    <t>mudurnu.bel.tr</t>
  </si>
  <si>
    <t>Seben</t>
  </si>
  <si>
    <t>Uygar Oturakdaş</t>
  </si>
  <si>
    <t>Çarşı Mah. İzzet Baysal Cad. No:7, 14750 Seben/Bolu</t>
  </si>
  <si>
    <t>0374 411 31 80</t>
  </si>
  <si>
    <t>bilgi@seben.bel.tr</t>
  </si>
  <si>
    <t>seben.bel.tr</t>
  </si>
  <si>
    <t>Yeniçağa</t>
  </si>
  <si>
    <t>Recayi Çağlar</t>
  </si>
  <si>
    <t>Asilbey Mah. Hükümet Meydanı No:3, Yeniçağa/Bolu</t>
  </si>
  <si>
    <t>0374 341 45 06</t>
  </si>
  <si>
    <t>bilgi@yenicaga.bel.tr</t>
  </si>
  <si>
    <t>www.yenicaga.bel.tr</t>
  </si>
  <si>
    <t>Burdur</t>
  </si>
  <si>
    <t>Ali Orkun Ercengiz</t>
  </si>
  <si>
    <t>Pazar Mahallesi, Belediye Cd. No:9, 15200 Merkez / Burdur</t>
  </si>
  <si>
    <t>0 (248) 233 53 90</t>
  </si>
  <si>
    <t>burdurbelediyesi@hs01.kep.tr</t>
  </si>
  <si>
    <t>https://burdur.bel.tr/</t>
  </si>
  <si>
    <t>Ağlasun</t>
  </si>
  <si>
    <t>Ali Ulusoy</t>
  </si>
  <si>
    <t>Çınar Mahallesi, Atatürk Caddesi No:3, Ağlasun / Burdur</t>
  </si>
  <si>
    <t>0 (248) 731 26 64</t>
  </si>
  <si>
    <t>info@aglasun.bel.tr</t>
  </si>
  <si>
    <t>https://www.aglasun.bel.tr/</t>
  </si>
  <si>
    <t>Altınyayla</t>
  </si>
  <si>
    <t>Selen Kınalı</t>
  </si>
  <si>
    <t>Heybeli Mah. Belediye Cad. No: 1/1 Altınyayla / BURDUR</t>
  </si>
  <si>
    <t>0 (248) 521 20 02</t>
  </si>
  <si>
    <t>alt_bld@hotmail.com</t>
  </si>
  <si>
    <t>https://www.xn--altnyayla-xpb.bel.tr/</t>
  </si>
  <si>
    <t>Bucak</t>
  </si>
  <si>
    <t>Hülya Gümüş</t>
  </si>
  <si>
    <t>Oğuzhan Mah., Atatürk Cad. No:1, Bucak / Burdur</t>
  </si>
  <si>
    <t>0 (248) 325 10 01</t>
  </si>
  <si>
    <t>info@bucak.bel.tr</t>
  </si>
  <si>
    <t>https://bucak.bel.tr/</t>
  </si>
  <si>
    <t>Çavdır</t>
  </si>
  <si>
    <t>Ali Okan Yücel</t>
  </si>
  <si>
    <t>Pazar Mahallesi, Menekşe Caddesi No:9, Çavdır / Burdur</t>
  </si>
  <si>
    <t>0 (248) 427 10 09</t>
  </si>
  <si>
    <t>info@cavdir.bel.tr</t>
  </si>
  <si>
    <t>https://www.cavdir.bel.tr/</t>
  </si>
  <si>
    <t>Çeltikçi</t>
  </si>
  <si>
    <t>Ramazan Ezin</t>
  </si>
  <si>
    <t>Konak Mahallesi, Adnan Menderes Bulvarı No:13, Çeltikçi / Burdur</t>
  </si>
  <si>
    <t>0 (248) 711 20 06</t>
  </si>
  <si>
    <t>info@celtikci.bel.tr</t>
  </si>
  <si>
    <t>https://www.celtikci.bel.tr/</t>
  </si>
  <si>
    <t>Gölhisar</t>
  </si>
  <si>
    <t>İbrahim Sertbaş</t>
  </si>
  <si>
    <t>Pazar Mah., Cumhuriyet Cad., Belediye Sarayı, 15400 Gölhisar / Burdur</t>
  </si>
  <si>
    <t>0 (248) 411 31 17</t>
  </si>
  <si>
    <t>info@golhisar.bel.tr</t>
  </si>
  <si>
    <t>https://www.golhisar.bel.tr/</t>
  </si>
  <si>
    <t>Karamanlı</t>
  </si>
  <si>
    <t>Fatih Selimoğlu</t>
  </si>
  <si>
    <t>Pazar Mahallesi, Burdur Caddesi No:1, 15700 Karamanlı / Burdur</t>
  </si>
  <si>
    <t>0 (248) 531 30 04</t>
  </si>
  <si>
    <t>bilgi@karamanli.bel.tr</t>
  </si>
  <si>
    <t>https://karamanli.bel.tr/</t>
  </si>
  <si>
    <t>Ömer Aktürk</t>
  </si>
  <si>
    <t>Yeni Mahalle, Cumhuriyet Cad. No:1, 15090 Kemer/Burdur</t>
  </si>
  <si>
    <t>0 (248) 511 20 02</t>
  </si>
  <si>
    <t>bilgi@kemer15.bel.tr</t>
  </si>
  <si>
    <t>https://www.kemer15.bel.tr/</t>
  </si>
  <si>
    <t>Tefenni</t>
  </si>
  <si>
    <t>Ümit Alagöz</t>
  </si>
  <si>
    <t>Yokuş Mahallesi, Burdur Caddesi No:2, Tefenni / Burdur</t>
  </si>
  <si>
    <t>0 (248) 491 20 15</t>
  </si>
  <si>
    <t>info@tefenni.bel.tr</t>
  </si>
  <si>
    <t>https://www.tefenni.bel.tr/</t>
  </si>
  <si>
    <t>Yeşilova</t>
  </si>
  <si>
    <t>Okan Kurd</t>
  </si>
  <si>
    <t>Merkez, İnönü Cd. No:15, 15500 Yeşilova / Burdur</t>
  </si>
  <si>
    <t>0248 618 10 12</t>
  </si>
  <si>
    <t>bilgi@yesilovabelediyesi.bel.tr</t>
  </si>
  <si>
    <t>https://www.yesilovabelediyesi.bel.tr/</t>
  </si>
  <si>
    <t>Bursa</t>
  </si>
  <si>
    <t>Bursa Büyükşehir</t>
  </si>
  <si>
    <t>Şahin BİBA (Başkan Vekili)</t>
  </si>
  <si>
    <t>Zafer Mh. Ankara Yolu Cd. C Blok No:1 16080 Osmangazi/Bursa</t>
  </si>
  <si>
    <t>444 16 00</t>
  </si>
  <si>
    <t>beyazmasa@bursa.bel.tr</t>
  </si>
  <si>
    <t>www.bursa.bel.tr</t>
  </si>
  <si>
    <t>Osmangazi</t>
  </si>
  <si>
    <t>Erkan AYDIN</t>
  </si>
  <si>
    <t>Santral Garaj Mah. Ulubatlı Hasan Blv. No:10 16140 Osmangazi/Bursa</t>
  </si>
  <si>
    <t>444 16 01</t>
  </si>
  <si>
    <t>info@osmangazi.bel.tr</t>
  </si>
  <si>
    <t>www.osmangazi.bel.tr</t>
  </si>
  <si>
    <t>Yıldırım</t>
  </si>
  <si>
    <t>Oktay YILMAZ</t>
  </si>
  <si>
    <t>Şükraniye Mh. Ahmet Taner Kışlalı Meydanı No:2 16330 Yıldırım/Bursa</t>
  </si>
  <si>
    <t>444 16 02</t>
  </si>
  <si>
    <t>info@yildirim.bel.tr</t>
  </si>
  <si>
    <t>www.yildirim.bel.tr</t>
  </si>
  <si>
    <t>Nilüfer</t>
  </si>
  <si>
    <t>Şadi ÖZDEMİR</t>
  </si>
  <si>
    <t>İhsaniye Mah. Cumhuriyet Meydanı 2/A 2/B Blok 16130 Nilüfer/Bursa</t>
  </si>
  <si>
    <t>444 16 03</t>
  </si>
  <si>
    <t>nilufer@nilufer.bel.tr</t>
  </si>
  <si>
    <t>www.nilufer.bel.tr</t>
  </si>
  <si>
    <t>Gürsu</t>
  </si>
  <si>
    <t>Mustafa IŞIK</t>
  </si>
  <si>
    <t>Zafer Mahallesi, Beşevler Caddesi, No: 5, Gürsu / BURSA</t>
  </si>
  <si>
    <t>444 3 616</t>
  </si>
  <si>
    <t>info@gursu.bel.tr</t>
  </si>
  <si>
    <t>www.gursu.bel.tr</t>
  </si>
  <si>
    <t>Kestel</t>
  </si>
  <si>
    <t>Ferhat EROL</t>
  </si>
  <si>
    <t>Kale Mah. Cuma Cad. No:1 Kestel/Bursa</t>
  </si>
  <si>
    <t>0224 372 10 01</t>
  </si>
  <si>
    <t>belediye@kestel.bel.tr</t>
  </si>
  <si>
    <t>www.kestel.bel.tr</t>
  </si>
  <si>
    <t>Gemlik</t>
  </si>
  <si>
    <t>Şükrü DEVİREN</t>
  </si>
  <si>
    <t>Hamidiye Mah. Gemlik/Bursa</t>
  </si>
  <si>
    <t>0224 513 45 21</t>
  </si>
  <si>
    <t>cagrimerkezi@gemlik.bel.tr</t>
  </si>
  <si>
    <t>www.gemlik.bel.tr</t>
  </si>
  <si>
    <t>İnegöl</t>
  </si>
  <si>
    <t>Alper TABAN</t>
  </si>
  <si>
    <t>Kemalpaşa Mah. Adnan Menderes Blv. No:1 16400 İnegöl/Bursa</t>
  </si>
  <si>
    <t>0224 715 10 10</t>
  </si>
  <si>
    <t>belediye@inegol.bel.tr</t>
  </si>
  <si>
    <t>www.inegol.bel.tr</t>
  </si>
  <si>
    <t>İznik</t>
  </si>
  <si>
    <t>Kağan Mehmet USTA</t>
  </si>
  <si>
    <t>Selçuk Mahallesi, Rauf Denktaş Caddesi, No:65A, İznik / BURSA</t>
  </si>
  <si>
    <t>0224 757 10 10</t>
  </si>
  <si>
    <t>yazi_isleri@iznik.bel.tr</t>
  </si>
  <si>
    <t>www.iznik.bel.tr</t>
  </si>
  <si>
    <t>Karacabey</t>
  </si>
  <si>
    <t>Fatih KARABATI</t>
  </si>
  <si>
    <t>Cumhuriyet Meydanı No:1 Karacabey/Bursa</t>
  </si>
  <si>
    <t>0224 676 86 40</t>
  </si>
  <si>
    <t>bilgi@karacabey.bel.tr</t>
  </si>
  <si>
    <t>www.karacabey.bel.tr</t>
  </si>
  <si>
    <t>Mudanya</t>
  </si>
  <si>
    <t>Deniz DALGIÇ</t>
  </si>
  <si>
    <t>Halitpaşa Mah. Kumyaka Cad. No:61 CB Yıldıztepe Yerleşkesi Mudanya/Bursa</t>
  </si>
  <si>
    <t>444 8 922</t>
  </si>
  <si>
    <t>mudanyabelediyesi@mudanya.bel.tr</t>
  </si>
  <si>
    <t>www.mudanya.bel.tr</t>
  </si>
  <si>
    <t>Mustafakemalpaşa</t>
  </si>
  <si>
    <t>Şükrü ERDEM</t>
  </si>
  <si>
    <t>Hamzabey Mh. Garaj Sok. No:22-26 Mustafakemalpaşa/Bursa</t>
  </si>
  <si>
    <t>444 38 15</t>
  </si>
  <si>
    <t>mkpbld@mustafakemalpasa.bel.tr</t>
  </si>
  <si>
    <t>www.mustafakemalpasa.bel.tr</t>
  </si>
  <si>
    <t>Orhangazi</t>
  </si>
  <si>
    <t>Bekir AYDIN</t>
  </si>
  <si>
    <t>Camiikebir Mh. Dervişbey Cd. No:1 16800 Orhangazi/Bursa</t>
  </si>
  <si>
    <t>0224 573 38 00</t>
  </si>
  <si>
    <t>orhangazi@orhangazi.bel.tr</t>
  </si>
  <si>
    <t>www.orhangazi.bel.tr</t>
  </si>
  <si>
    <t>Yenişehir</t>
  </si>
  <si>
    <t>Ercan ÖZEL</t>
  </si>
  <si>
    <t>Ulucami Mh. Belediye Meydanı No:1 Yenişehir/Bursa</t>
  </si>
  <si>
    <t>0224 773 00 16</t>
  </si>
  <si>
    <t>bilgi@bursa-yenisehir.bel.tr</t>
  </si>
  <si>
    <t>www.bursa-yenisehir.bel.tr</t>
  </si>
  <si>
    <t>Orhaneli</t>
  </si>
  <si>
    <t>Ali Osman TAYIR</t>
  </si>
  <si>
    <t>İsmetpaşa Mah. Zafer Cd. No:102 16980 Orhaneli/Bursa</t>
  </si>
  <si>
    <t>0224 818 08 18</t>
  </si>
  <si>
    <t>ozelkalem@orhaneli.bel.tr</t>
  </si>
  <si>
    <t>www.orhaneli.bel.tr</t>
  </si>
  <si>
    <t>Büyükorhan</t>
  </si>
  <si>
    <t>Kamil TURHAN</t>
  </si>
  <si>
    <t>Büyükorhan/Bursa</t>
  </si>
  <si>
    <t>0224 841 21 42</t>
  </si>
  <si>
    <t>belediye@buyukorhan.bel.tr</t>
  </si>
  <si>
    <t>www.buyukorhan.bel.tr</t>
  </si>
  <si>
    <t>Harmancık</t>
  </si>
  <si>
    <t>Haşim Ali ARIKAN</t>
  </si>
  <si>
    <t>Merkez Mah. Keles Cad. No:1 16770 Harmancık/Bursa</t>
  </si>
  <si>
    <t>0224 881 20 20</t>
  </si>
  <si>
    <t>iletisim@harmancik.bel.tr</t>
  </si>
  <si>
    <t>www.harmancik.bel.tr</t>
  </si>
  <si>
    <t>Keles</t>
  </si>
  <si>
    <t>Ali DOĞRU</t>
  </si>
  <si>
    <t>Cuma Mah. Atatürk Cad. 16740 Keles/Bursa</t>
  </si>
  <si>
    <t>0224 861 20 52</t>
  </si>
  <si>
    <t>iletisim@keles.bel.tr</t>
  </si>
  <si>
    <r>
      <rPr>
        <rFont val="Calibri, sans-serif"/>
        <color rgb="FF1155CC"/>
        <sz val="11.0"/>
        <u/>
      </rPr>
      <t>www.keles.bel.tr</t>
    </r>
  </si>
  <si>
    <t>Çanakkale</t>
  </si>
  <si>
    <t>Muharrem Erkek</t>
  </si>
  <si>
    <t>İsmetpaşa Mah. Atatürk Cad. No:39, 17100 Çanakkale</t>
  </si>
  <si>
    <t>444 17 17</t>
  </si>
  <si>
    <t>iletisim@canakkale.bel.tr</t>
  </si>
  <si>
    <t>www.canakkale.bel.tr</t>
  </si>
  <si>
    <t>Ayvacık</t>
  </si>
  <si>
    <t>Mesut Bayram</t>
  </si>
  <si>
    <t>Ümmühan Mah. Cumhuriyet Cad. No:3, 17860 Ayvacık / ÇANAKKALE</t>
  </si>
  <si>
    <t>0286 712 18 93</t>
  </si>
  <si>
    <t>bilgi@canakkaleayvacik.bel.tr</t>
  </si>
  <si>
    <t>www.canakkaleayvacik.bel.tr</t>
  </si>
  <si>
    <t>Bayramiç</t>
  </si>
  <si>
    <t>Hasan Cem Atılgan</t>
  </si>
  <si>
    <t>Camikebir Mah. Yüksel Yörükoğlu Sok. No:1, Bayramiç/Çanakkale</t>
  </si>
  <si>
    <t>0286 773 10 16</t>
  </si>
  <si>
    <t>bilgi@bayramic.bel.tr</t>
  </si>
  <si>
    <t>www.bayramic.bel.tr</t>
  </si>
  <si>
    <t>Biga</t>
  </si>
  <si>
    <t>Alper Şen</t>
  </si>
  <si>
    <t>Sakarya Mh. Kıbrıs Şehitleri Cd. No:10, 17200 Biga/Çanakkale</t>
  </si>
  <si>
    <t>0286 315 00 00</t>
  </si>
  <si>
    <t>info@biga.bel.tr</t>
  </si>
  <si>
    <t>www.biga.bel.tr</t>
  </si>
  <si>
    <t>Bozcaada</t>
  </si>
  <si>
    <t>Yahya Göztepe</t>
  </si>
  <si>
    <t>Alaybey Mah. İskele Cad. No:36, Bozcaada/Çanakkale</t>
  </si>
  <si>
    <t>0286 697 80 81</t>
  </si>
  <si>
    <t>yaziisleri@bozcaada.bel.tr</t>
  </si>
  <si>
    <t>www.bozcaada.bel.tr</t>
  </si>
  <si>
    <t>Çan</t>
  </si>
  <si>
    <t>Harun Arslan</t>
  </si>
  <si>
    <t>İstiklal Mah. Belediye Sok. No:1 Kat:3-4, Çan/Çanakkale</t>
  </si>
  <si>
    <t>0286 416 60 90</t>
  </si>
  <si>
    <t>info@can.bel.tr</t>
  </si>
  <si>
    <t>www.can.bel.tr</t>
  </si>
  <si>
    <t>Eceabat</t>
  </si>
  <si>
    <t>Saim Zileli</t>
  </si>
  <si>
    <t>İsmetpaşa Mah. Cumhuriyet Cad. No:21, Eceabat/Çanakkale</t>
  </si>
  <si>
    <t>0286 814 12 42</t>
  </si>
  <si>
    <t>eceabat@eceabat.bel.tr</t>
  </si>
  <si>
    <t>www.eceabat.bel.tr</t>
  </si>
  <si>
    <t>Ezine</t>
  </si>
  <si>
    <t>Güray Yüksel</t>
  </si>
  <si>
    <t>Cumhuriyet Mah. Org. Nahit Şenoğul Cad. No:2, 17600 Ezine/Çanakkale</t>
  </si>
  <si>
    <t>0286 618 10 10</t>
  </si>
  <si>
    <t>info@ezine.bel.tr</t>
  </si>
  <si>
    <t>www.ezine.bel.tr</t>
  </si>
  <si>
    <t>Gelibolu</t>
  </si>
  <si>
    <t>Dr. Ali Kamil Soyuak</t>
  </si>
  <si>
    <t>Camiikebir Mh. Hükümet Cd. No:1, 17500 Gelibolu/Çanakkale</t>
  </si>
  <si>
    <t>0286 566 10 11</t>
  </si>
  <si>
    <t>bilgi@gelibolu.bel.tr</t>
  </si>
  <si>
    <t>www.gelibolu.bel.tr</t>
  </si>
  <si>
    <t>Gökçeada</t>
  </si>
  <si>
    <t>Bülent Ecevit Atalay</t>
  </si>
  <si>
    <t>Çınarlı Mh. Fevzi Çakmak Cd. No:1, 17760 Gökçeada/Çanakkale</t>
  </si>
  <si>
    <t>0286 887 30 52</t>
  </si>
  <si>
    <t>cozummerkezi17@gmail.com</t>
  </si>
  <si>
    <t>www.gokceada.bel.tr</t>
  </si>
  <si>
    <t>Lapseki</t>
  </si>
  <si>
    <t>Atilla Öztürk</t>
  </si>
  <si>
    <t>Cumhuriyet Mah. Çanakkale Cad. No:2A-1, 17800 Lapseki/Çanakkale</t>
  </si>
  <si>
    <t>0286 512 10 44</t>
  </si>
  <si>
    <t>info@lapseki.bel.tr</t>
  </si>
  <si>
    <t>www.lapseki.bel.tr</t>
  </si>
  <si>
    <t>Yenice</t>
  </si>
  <si>
    <t>Veysel Acar</t>
  </si>
  <si>
    <t>Yeni Mah. Biga Cad. No:1, 17550 Yenice/Çanakkale</t>
  </si>
  <si>
    <t>0286 474 32 42</t>
  </si>
  <si>
    <t>yenice@yenicebelediyesi.bel.tr</t>
  </si>
  <si>
    <t>www.yenicebelediyesi.bel.tr</t>
  </si>
  <si>
    <t>Çankırı</t>
  </si>
  <si>
    <t>İsmail Hakkı Esen</t>
  </si>
  <si>
    <t>Cumhuriyet Mah. Atatürk Bulvarı No:15 Merkez/ÇANKIRI</t>
  </si>
  <si>
    <t>0 (376) 212 1400</t>
  </si>
  <si>
    <t>hilalmasa@cankiri.bel.tr</t>
  </si>
  <si>
    <t>www.cankiri.bel.tr</t>
  </si>
  <si>
    <t>Atkaracalar</t>
  </si>
  <si>
    <t>Harun Oflaz</t>
  </si>
  <si>
    <t>Gazibey Mah. Nevzat Ayaz Cad. Belediye Binası No: 10, Atkaracalar / ÇANKIRI</t>
  </si>
  <si>
    <t>0376 712 10 03</t>
  </si>
  <si>
    <t>atkaracalarbelediyesi@gmail.com</t>
  </si>
  <si>
    <t>www.atkaracalar.bel.tr</t>
  </si>
  <si>
    <t>Bayramören</t>
  </si>
  <si>
    <t>Raşit Güngör</t>
  </si>
  <si>
    <t>Zübeyde Hanım Mah. Nevzat Ayaz Cad. No:1, Bayramören/Çankırı</t>
  </si>
  <si>
    <t>0376 735 80 16</t>
  </si>
  <si>
    <t>bayramorenbld@hotmail.com</t>
  </si>
  <si>
    <t>www.bayramoren.bel.tr</t>
  </si>
  <si>
    <t>Çerkeş</t>
  </si>
  <si>
    <t>Hasan Sopaçı</t>
  </si>
  <si>
    <t>Yeni Mahallesi Murat Kurum Caddesi No:28 ÇERKEŞ/ÇANKIRI</t>
  </si>
  <si>
    <t>0 376 766 10 18</t>
  </si>
  <si>
    <t>cerkesbelediyesi@cerkes.bel.tr</t>
  </si>
  <si>
    <t>www.cerkes.bel.tr</t>
  </si>
  <si>
    <t>Eldivan</t>
  </si>
  <si>
    <t>Mustafa Lafcı</t>
  </si>
  <si>
    <t>Topraklık Mah. Şehit Polis Hasan Gülhan Cad. No:8 ELDİVAN/ÇANKIRI</t>
  </si>
  <si>
    <t>0376 311 20 13</t>
  </si>
  <si>
    <t>bilgi@eldivan.bel.tr</t>
  </si>
  <si>
    <t>www.eldivan.bel.tr</t>
  </si>
  <si>
    <t>Ilgaz</t>
  </si>
  <si>
    <t>Mehmed Öztürk</t>
  </si>
  <si>
    <t>Yukarı Mahalle Naili Baba Caddesi No:2A Ilgaz/ÇANKIRI</t>
  </si>
  <si>
    <t>0376 416 11 50</t>
  </si>
  <si>
    <t>bilgi@ilgaz.bel.tr</t>
  </si>
  <si>
    <t>www.ilgaz.bel.tr</t>
  </si>
  <si>
    <t>Kızılırmak</t>
  </si>
  <si>
    <t>Erol Şentürk</t>
  </si>
  <si>
    <t>Osmanlı Mah. Nevzat Ayaz Cad. No:1, Kızılırmak / Çankırı</t>
  </si>
  <si>
    <t>0376 324 10 94</t>
  </si>
  <si>
    <t>bilgi@kizilirmak.bel.tr</t>
  </si>
  <si>
    <t>www.kizilirmak.bel.tr</t>
  </si>
  <si>
    <t>Korgun</t>
  </si>
  <si>
    <t>Hasan Hüseyin Kozan</t>
  </si>
  <si>
    <t>Büyük Mah. Okul Cad. No:2 Korgun/ÇANKIRI</t>
  </si>
  <si>
    <t>0376 343 12 65</t>
  </si>
  <si>
    <t>korgunbld@korgun.bel.tr</t>
  </si>
  <si>
    <t>www.korgun.bel.tr</t>
  </si>
  <si>
    <t>Kurşunlu</t>
  </si>
  <si>
    <t>Şerafettin Uslu</t>
  </si>
  <si>
    <t>Cömertler Mah. Atatürk Cad. 46/1 Kurşunlu/ÇANKIRI</t>
  </si>
  <si>
    <t>0 376 465 13 17</t>
  </si>
  <si>
    <t>info@kursunlu.bel.tr</t>
  </si>
  <si>
    <t>www.kursunlu.bel.tr</t>
  </si>
  <si>
    <t>Orta</t>
  </si>
  <si>
    <t>Ömer Bezci</t>
  </si>
  <si>
    <t>Orta Belediye Başkanlığı Orta/ÇANKIRI</t>
  </si>
  <si>
    <t>0 (376) 615 10 06</t>
  </si>
  <si>
    <t>ortabel@hotmail.com</t>
  </si>
  <si>
    <t>www.orta.bel.tr</t>
  </si>
  <si>
    <t>Şabanözü</t>
  </si>
  <si>
    <t>Faik Özcan</t>
  </si>
  <si>
    <t>Cumhuriyet Mah. Çarşı Meydanı Cd. No:11, 18650 Şabanözü/Çankırı</t>
  </si>
  <si>
    <t>0 376 518 10 50</t>
  </si>
  <si>
    <t>bilgi@sabanozu.bel.tr</t>
  </si>
  <si>
    <t>www.sabanozu.bel.tr</t>
  </si>
  <si>
    <t>Yapraklı</t>
  </si>
  <si>
    <t>Ömer Güngör</t>
  </si>
  <si>
    <t>0376 771 20 01</t>
  </si>
  <si>
    <t>info@yaprakli.bel.tr</t>
  </si>
  <si>
    <t>www.yaprakli.bel.tr</t>
  </si>
  <si>
    <t>Çorum</t>
  </si>
  <si>
    <t>Dr. Halil İbrahim AŞGIN</t>
  </si>
  <si>
    <t>Kunduzhan Mah. Farabi Cad. No: 22, Çorum</t>
  </si>
  <si>
    <t>0 (364) 319 19 19</t>
  </si>
  <si>
    <t>info@corum.bel.tr</t>
  </si>
  <si>
    <t>www.corum.bel.tr</t>
  </si>
  <si>
    <t>Alaca</t>
  </si>
  <si>
    <t>Şerif ARSLAN</t>
  </si>
  <si>
    <t>Denizhan Mah. Yozgat Cad. Cumhuriyet Meydanı Yeni Hizmet Binası Alaca/ÇORUM</t>
  </si>
  <si>
    <t>0364 411 57 91</t>
  </si>
  <si>
    <t>alaca@alaca.bel.tr</t>
  </si>
  <si>
    <t>www.alaca.bel.tr</t>
  </si>
  <si>
    <t>Ahmet Bahadır ÜNLÜ</t>
  </si>
  <si>
    <t>Yeni Mahalle Çorum Caddesi No:4 P.K.: 19800 Bayat/ÇORUM</t>
  </si>
  <si>
    <t>0364 381 30 74</t>
  </si>
  <si>
    <t>info@corumbayat.bel.tr</t>
  </si>
  <si>
    <t>corumbayat.bel.tr</t>
  </si>
  <si>
    <t>Boğazkale</t>
  </si>
  <si>
    <t>Adem ÖZEL</t>
  </si>
  <si>
    <t>Çarşı Mah. Cumhuriyet Meydanı Boğazkale/ÇORUM</t>
  </si>
  <si>
    <t>0 (364) 452 28 30</t>
  </si>
  <si>
    <t>www.bogazkale.bel.tr</t>
  </si>
  <si>
    <t>Dodurga</t>
  </si>
  <si>
    <t>İsmail ÇETİNKAYA</t>
  </si>
  <si>
    <t>Dodurga Belediyesi / ÇORUM</t>
  </si>
  <si>
    <t>0364 711 60 41</t>
  </si>
  <si>
    <t>dodurgabelediye@hotmail.com</t>
  </si>
  <si>
    <t>www.dodurga.bel.tr</t>
  </si>
  <si>
    <t>İskilip</t>
  </si>
  <si>
    <t>İsmail ÇİZİKCİ</t>
  </si>
  <si>
    <t>Yeni Cami Mahallesi Çorum 1 Sokak No:2-4 19400 İskilip/Çorum</t>
  </si>
  <si>
    <t>0 (364) 511 60 62</t>
  </si>
  <si>
    <t>iskilip@iskilip.bel.tr</t>
  </si>
  <si>
    <t>www.iskilip.bel.tr</t>
  </si>
  <si>
    <t>Kargı</t>
  </si>
  <si>
    <t>Hamit DERELİ</t>
  </si>
  <si>
    <t>Mihrihatun Mah. Atatürk Cad. No: 46 Kargı/Çorum</t>
  </si>
  <si>
    <t>0 (364) 651 28 93</t>
  </si>
  <si>
    <t>kargibel@gmail.com</t>
  </si>
  <si>
    <t>kargi.bel.tr</t>
  </si>
  <si>
    <t>Laçin</t>
  </si>
  <si>
    <t>Mustafa TOYDEMİR</t>
  </si>
  <si>
    <t>Fatih Mah. Hürriyet Cad. No:2 Laçin/Çorum</t>
  </si>
  <si>
    <t>0 (364) 745 54 83</t>
  </si>
  <si>
    <t>yaziisleri@lacin.bel.tr</t>
  </si>
  <si>
    <t>www.lacin.bel.tr</t>
  </si>
  <si>
    <t>Mecitözü</t>
  </si>
  <si>
    <t>Veli AYLAR</t>
  </si>
  <si>
    <t>Tutluk Mah. Şht. Mustafa Eker Cd. No:1 Mecitözü/Çorum</t>
  </si>
  <si>
    <t>0 (364) 461 21 38</t>
  </si>
  <si>
    <t>belediye@mecitozu.bel.tr</t>
  </si>
  <si>
    <t>www.mecitozu.bel.tr</t>
  </si>
  <si>
    <t>Oğuzlar</t>
  </si>
  <si>
    <t>Mustafa CEBECİ</t>
  </si>
  <si>
    <t>Karadonlu Mahallesi Fatih Caddesi No:33/21 Oğuzlar/Çorum</t>
  </si>
  <si>
    <t>0364 561 70 45</t>
  </si>
  <si>
    <t>oguzlarbelediyesi@hotmail.com</t>
  </si>
  <si>
    <t>oguzlar.bel.tr</t>
  </si>
  <si>
    <t>Ortaköy</t>
  </si>
  <si>
    <t>Taner İSBİR</t>
  </si>
  <si>
    <t>Bahçelievler Mah. Celal Bayar Cad. Ortaköy/ÇORUM</t>
  </si>
  <si>
    <t>0364 491 49 61</t>
  </si>
  <si>
    <t>corumortakoy.bel.tr</t>
  </si>
  <si>
    <t>Osmancık</t>
  </si>
  <si>
    <t>Ahmet GELGÖR</t>
  </si>
  <si>
    <t>Güney Mahallesi Çorum Caddesi No:2/E OSMANCIK/ÇORUM</t>
  </si>
  <si>
    <t>0 (364) 611 43 23</t>
  </si>
  <si>
    <t>yaziisleri@osmancik.bel.tr</t>
  </si>
  <si>
    <t>osmancik.bel.tr</t>
  </si>
  <si>
    <t>Sungurlu</t>
  </si>
  <si>
    <t>Muhsin DERE</t>
  </si>
  <si>
    <t>Sunguroğlu Mahallesi, Alparslan Türkeş Caddesi, No: 35, 19300 Sungurlu / Çorum</t>
  </si>
  <si>
    <t>0444 02 19</t>
  </si>
  <si>
    <t>info@sungurlu.bel.tr</t>
  </si>
  <si>
    <t>sungurlu.bel.tr</t>
  </si>
  <si>
    <t>Uğurludağ</t>
  </si>
  <si>
    <t>Remzi TORUN</t>
  </si>
  <si>
    <t>Yenicami Mahallesi, Cumhuriyet Caddesi, No: 36, Uğurludağ / ÇORUM</t>
  </si>
  <si>
    <t>0364 361 20 20</t>
  </si>
  <si>
    <t>mail@ugurludag.bel.tr</t>
  </si>
  <si>
    <t>ugurludag.bel.tr</t>
  </si>
  <si>
    <t>Denizli</t>
  </si>
  <si>
    <t>Büyükşehir</t>
  </si>
  <si>
    <t>Bülent Nuri Çavuşoğlu</t>
  </si>
  <si>
    <t>Altıntop Mah. Lise Cad. No:2 PK:20010 Merkezefendi / DENİZLİ</t>
  </si>
  <si>
    <t>444 85 20</t>
  </si>
  <si>
    <t>denizli@denizli.bel.tr</t>
  </si>
  <si>
    <t>www.denizli.bel.tr</t>
  </si>
  <si>
    <t>Acıpayam</t>
  </si>
  <si>
    <t>Levent Yıldırım</t>
  </si>
  <si>
    <t>Aşağı Mahalle Eski Hastane Caddesi No:1 Acıpayam / DENİZLİ</t>
  </si>
  <si>
    <t>0 (258) 518 12 22</t>
  </si>
  <si>
    <t>bilgi@acipayam.bel.tr</t>
  </si>
  <si>
    <t>www.acipayam.bel.tr</t>
  </si>
  <si>
    <t>Babadığ</t>
  </si>
  <si>
    <t>Murat Kumral</t>
  </si>
  <si>
    <t>0 (258) 481 20 06</t>
  </si>
  <si>
    <t>belediye@babadag.bel.tr</t>
  </si>
  <si>
    <t>www.babadag.bel.tr</t>
  </si>
  <si>
    <t>Baklan</t>
  </si>
  <si>
    <t>Yusuf Gülsever</t>
  </si>
  <si>
    <t>Gökpınar Mah. Şehit Uzman Çavuş Arif Karaobalı Cad. No: 50, 20770 Baklan / Denizli</t>
  </si>
  <si>
    <t>0 (258) 781 20 04</t>
  </si>
  <si>
    <t>info@baklan.bel.tr</t>
  </si>
  <si>
    <t>www.baklan.bel.tr</t>
  </si>
  <si>
    <t>Bekilli</t>
  </si>
  <si>
    <t>Önder Demir</t>
  </si>
  <si>
    <t>Yeni Mahalle Çarşı Caddesi No:1 PK:20930 Bekilli / DENİZLİ</t>
  </si>
  <si>
    <t>0 (258) 791 20 13</t>
  </si>
  <si>
    <t>belediye@bekilli.bel.tr</t>
  </si>
  <si>
    <t>www.bekilli.bel.tr</t>
  </si>
  <si>
    <t>Beyāğaç</t>
  </si>
  <si>
    <t>Sezayi Pütün</t>
  </si>
  <si>
    <t>Zafer Mh. Sağlık Ocağı Cd. No:1/1 PK:20590 Beyāğaç / DENİZLİ</t>
  </si>
  <si>
    <t>0 (258) 691 60 16</t>
  </si>
  <si>
    <t>danisma@beyagac.bel.tr</t>
  </si>
  <si>
    <t>www.beyagac.bel.tr</t>
  </si>
  <si>
    <t>Bozkurt</t>
  </si>
  <si>
    <t>Birsen Çelik</t>
  </si>
  <si>
    <t>Mehmetçik Mahallesi, Muzaffer Arıcı Caddesi, No: 8, 20370 Bozkurt / Denizli</t>
  </si>
  <si>
    <t>0 (258) 831 50 10</t>
  </si>
  <si>
    <t>belediye@denizlibozkurt.bel.tr</t>
  </si>
  <si>
    <t>denizlibozkurt.bel.tr</t>
  </si>
  <si>
    <t>Buldan</t>
  </si>
  <si>
    <t>Mehmet Ali Orpak</t>
  </si>
  <si>
    <t>Kurtuş Mah. Atatürk Cad. No:2 Buldan / DENİZLİ</t>
  </si>
  <si>
    <t>0 (258) 431 35 83</t>
  </si>
  <si>
    <t>info@buldan.bel.tr</t>
  </si>
  <si>
    <t>www.buldan.bel.tr</t>
  </si>
  <si>
    <t>Çal</t>
  </si>
  <si>
    <t>Ahmet Hakan</t>
  </si>
  <si>
    <t>Hüseyinler Mah. Denizli Cd. 20700 Çal / DENİZLİ</t>
  </si>
  <si>
    <t>0 (258) 751 30 05</t>
  </si>
  <si>
    <t>info@cal.bel.tr</t>
  </si>
  <si>
    <t>www.cal.bel.tr</t>
  </si>
  <si>
    <t>Çameli</t>
  </si>
  <si>
    <t>Cengiz Arslan</t>
  </si>
  <si>
    <t>Yeni Mah. Cumhuriyet Meydanı No:31, 20980 Çameli / DENİZLİ</t>
  </si>
  <si>
    <t>0 (258) 571 50 28</t>
  </si>
  <si>
    <t>www.cameli.bel.tr</t>
  </si>
  <si>
    <t>Çardak</t>
  </si>
  <si>
    <t>Ali Altıner</t>
  </si>
  <si>
    <t>Hürriyet Mahallesi, İtfaiye Sokak, No: 1, Çardak / DENİZLİ</t>
  </si>
  <si>
    <t>0 (258) 851 21 60</t>
  </si>
  <si>
    <t>bilgi@cardak.bel.tr</t>
  </si>
  <si>
    <t>www.cardak.bel.tr</t>
  </si>
  <si>
    <t>Çivril</t>
  </si>
  <si>
    <t>Semih Dere</t>
  </si>
  <si>
    <t>Çarşı Mahallesi Uşak Caddesi No:2 PK:20600 Çivril / DENİZLİ</t>
  </si>
  <si>
    <t>0 (258) 713 10 08</t>
  </si>
  <si>
    <t>info@civril.bel.tr</t>
  </si>
  <si>
    <t>www.civril.bel.tr</t>
  </si>
  <si>
    <t>Güney</t>
  </si>
  <si>
    <t>Mehmet Ali Eraydın</t>
  </si>
  <si>
    <t>Tilkilik Mah. 34. Sok. Güney / DENİZLİ</t>
  </si>
  <si>
    <t>0 (258) 451 20 10</t>
  </si>
  <si>
    <t>info@guney.bel.tr</t>
  </si>
  <si>
    <t>www.guney.bel.tr</t>
  </si>
  <si>
    <t>Honaz</t>
  </si>
  <si>
    <t>Yüksel Kepenek</t>
  </si>
  <si>
    <t>Yeni Mh. Çarşı Meydanı No:1 Honaz / DENİZLİ</t>
  </si>
  <si>
    <t>0 (258) 811 31 07</t>
  </si>
  <si>
    <t>honaz@honaz.bel.tr</t>
  </si>
  <si>
    <t>www.honaz.bel.tr</t>
  </si>
  <si>
    <t>Kale</t>
  </si>
  <si>
    <t>Erkan Hayla</t>
  </si>
  <si>
    <t>Cevherpaşa Mah. Atatürk Cad. No:19-15, 20570 Kale / DENİZLİ</t>
  </si>
  <si>
    <t>0 (258) 671 31 21</t>
  </si>
  <si>
    <t>info@kale.bel.tr</t>
  </si>
  <si>
    <t>www.kale.bel.tr</t>
  </si>
  <si>
    <t>Merkezefendi</t>
  </si>
  <si>
    <t>Şeniz Doğan</t>
  </si>
  <si>
    <t>Sırakapılar Mah. 1581 Sok. No:4 20100 Merkezefendi / DENİZLİ</t>
  </si>
  <si>
    <t>444 86 62</t>
  </si>
  <si>
    <t>merkezefendi@merkezefendi.bel.tr</t>
  </si>
  <si>
    <t>www.merkezefendi.bel.tr</t>
  </si>
  <si>
    <t>Pamukkale</t>
  </si>
  <si>
    <t>Ali Rıza Ertemür</t>
  </si>
  <si>
    <t>İncilipınar Mah. Fevzi Çakmak Bulv. No:234 Pamukkale / DENİZLİ</t>
  </si>
  <si>
    <t>444 9 220</t>
  </si>
  <si>
    <t>pamukkale@pamukkale.bel.tr</t>
  </si>
  <si>
    <t>www.pamukkale.bel.tr</t>
  </si>
  <si>
    <t>Sarayköy</t>
  </si>
  <si>
    <t>Mehmet Salih Konya</t>
  </si>
  <si>
    <t>Bala Mahallesi Hükümet Cad. No:1 20300 Sarayköy / DENİZLİ</t>
  </si>
  <si>
    <t>0 (258) 415 10 07</t>
  </si>
  <si>
    <t>saraykoybelediyesi@hotmail.com</t>
  </si>
  <si>
    <t>www.saraykoy.bel.tr</t>
  </si>
  <si>
    <t>Serinhisar</t>
  </si>
  <si>
    <t>Osman Kılıç</t>
  </si>
  <si>
    <t>Aşağı Mah. İstiklal Cad. No:6 Serinhisar / DENİZLİ</t>
  </si>
  <si>
    <t>0 (258) 591 51 80</t>
  </si>
  <si>
    <t>info@serinhisar.bel.tr</t>
  </si>
  <si>
    <t>www.serinhisar.bel.tr</t>
  </si>
  <si>
    <t>Tavas</t>
  </si>
  <si>
    <t>Kadir Tatık</t>
  </si>
  <si>
    <t>Orta Mah. Hükümet Cad. No:3 Tavas / DENİZLİ</t>
  </si>
  <si>
    <t>0 (258) 613 10 20</t>
  </si>
  <si>
    <t>info@tavas.bel.tr</t>
  </si>
  <si>
    <t>www.tavas.bel.tr</t>
  </si>
  <si>
    <t>Diyarbakır</t>
  </si>
  <si>
    <t>Büyükşehir Belediyesi</t>
  </si>
  <si>
    <t>Ayşe Serra Bucak Küçük (Eşbaşkanlar: Serra Bucak - Doğan Hatun)</t>
  </si>
  <si>
    <t>Yenişehir Mah. Elazığ Bulvarı Dış Kapı No:10 İç Kapı No:1, 21100 Yenişehir/Diyarbakır</t>
  </si>
  <si>
    <t>(0412) 229 48 80</t>
  </si>
  <si>
    <t>buyuksehirbelediyesi@hs01.kep.tr</t>
  </si>
  <si>
    <t>www.diyarbakir.bel.tr</t>
  </si>
  <si>
    <t>Bağlar</t>
  </si>
  <si>
    <t>Leyla Ayaz - Siraç Çelik (Eşbaşkanlar)</t>
  </si>
  <si>
    <t>Bağlar Mah. Amid Cad. No:12, Bağlar/Diyarbakır</t>
  </si>
  <si>
    <t>(0412) 251 93 00</t>
  </si>
  <si>
    <t>bilgi@baglar.bel.tr</t>
  </si>
  <si>
    <t>www.baglar.bel.tr</t>
  </si>
  <si>
    <t>Bismil</t>
  </si>
  <si>
    <t>Mizgin Ekin - Güven Tanrıkulu (Eşbaşkanlar)</t>
  </si>
  <si>
    <t>Altiok Mah. Esnaf Cad. No:3, Bismil/Diyarbakır</t>
  </si>
  <si>
    <t>444 52 29</t>
  </si>
  <si>
    <t>bismilbelediyebasin@gmail.com</t>
  </si>
  <si>
    <t>www.bismil.bel.tr</t>
  </si>
  <si>
    <t>Çermik</t>
  </si>
  <si>
    <t>Şeyhmus Karamehmetoğlu</t>
  </si>
  <si>
    <t>Çermik Belediye Başkanlığı, Çermik/Diyarbakır</t>
  </si>
  <si>
    <t>(0412) 461 20 01</t>
  </si>
  <si>
    <t>posta@cermik.bel.tr</t>
  </si>
  <si>
    <t>www.cermik.bel.tr</t>
  </si>
  <si>
    <t>Çınar</t>
  </si>
  <si>
    <t>Semra Akyüz - Mahmut Ulus (Eşbaşkanlar)</t>
  </si>
  <si>
    <t>Gazi Mah. Atatürk Bulvarı No:23 PK: 21750, Çınar/Diyarbakır</t>
  </si>
  <si>
    <t>(0412) 511 35 14</t>
  </si>
  <si>
    <t>bilgi@cinar.bel.tr</t>
  </si>
  <si>
    <t>www.cinar.bel.tr</t>
  </si>
  <si>
    <t>Çüngüş</t>
  </si>
  <si>
    <t>Ali Suat Akmeşe</t>
  </si>
  <si>
    <t>Karşıyaka Mah. İsmet Akmeşe Cad. Tekiye Sok. No:1, Çüngüş/Diyarbakır</t>
  </si>
  <si>
    <t>(0412) 541 20 08</t>
  </si>
  <si>
    <t>posta@cungus.bel.tr</t>
  </si>
  <si>
    <t>www.cungus.bel.tr</t>
  </si>
  <si>
    <t>Dicle</t>
  </si>
  <si>
    <t>Hacı Akengin - Aysel Baran (Eşbaşkanlar)</t>
  </si>
  <si>
    <t>15 Temmuz Mah. Ergani Cad. No:52/B, Dicle/Diyarbakır</t>
  </si>
  <si>
    <t>(0412) 561 20 20</t>
  </si>
  <si>
    <t>iletisim@dicle.bel.tr</t>
  </si>
  <si>
    <t>www.dicle.bel.tr</t>
  </si>
  <si>
    <t>Eğil</t>
  </si>
  <si>
    <t>Fırat Seydaoğlu</t>
  </si>
  <si>
    <t>Yenişehir Mah. Eğitim Cad. No:2, 21470 Eğil/Diyarbakır</t>
  </si>
  <si>
    <t>(0412) 581 20 49</t>
  </si>
  <si>
    <t>yaziisleri@egil.bel.tr</t>
  </si>
  <si>
    <t>www.egil.bel.tr</t>
  </si>
  <si>
    <t>Ergani</t>
  </si>
  <si>
    <t>Birsen Azak Bayar - Şiyar Güldiken (Eşbaşkanlar)</t>
  </si>
  <si>
    <t>Saray Mah. 50. Yıl Cad. No:3, Ergani/Diyarbakır</t>
  </si>
  <si>
    <t>(0412) 611 50 21</t>
  </si>
  <si>
    <t>www.ergani.bel.tr</t>
  </si>
  <si>
    <t>Hani</t>
  </si>
  <si>
    <t>Besile Narin - Hamdullah Demir (Eşbaşkanlar)</t>
  </si>
  <si>
    <t>Belediye Hizmet Binası, Hani/Diyarbakır</t>
  </si>
  <si>
    <t>(0412) 651 20 08</t>
  </si>
  <si>
    <t>bilgi@hani.bel.tr</t>
  </si>
  <si>
    <t>www.hani.bel.tr</t>
  </si>
  <si>
    <t>Hazro</t>
  </si>
  <si>
    <t>Fuat Mehmetoğlu</t>
  </si>
  <si>
    <t>Hürriyet Mah. Şehitlik Cad. No:43, 21560 Hazro/Diyarbakır</t>
  </si>
  <si>
    <t>(0412) 671 21 08</t>
  </si>
  <si>
    <t>basin@hazro.bel.tr</t>
  </si>
  <si>
    <t>www.hazro.bel.tr</t>
  </si>
  <si>
    <t>Kayapınar</t>
  </si>
  <si>
    <t>Berivan Gülşen Sincar - Cengiz Dündar (Eşbaşkanlar)</t>
  </si>
  <si>
    <t>Peyas Mah. Kayapınar Cad. No:56, Kayapınar/Diyarbakır</t>
  </si>
  <si>
    <t>0850 339 21 21</t>
  </si>
  <si>
    <t>info@kayapinar.bel.tr</t>
  </si>
  <si>
    <t>www.kayapinar.bel.tr</t>
  </si>
  <si>
    <t>Kocaköy</t>
  </si>
  <si>
    <t>Mehmet Şık</t>
  </si>
  <si>
    <t>Yenişehir Mah. Cumhuriyet Cad. No:3, Kocaköy/Diyarbakır</t>
  </si>
  <si>
    <t>(0412) 811 20 02</t>
  </si>
  <si>
    <t>kocakoy@kocakoy.bel.tr</t>
  </si>
  <si>
    <t>www.kocakoy.bel.tr</t>
  </si>
  <si>
    <t>Kulp</t>
  </si>
  <si>
    <t>Fatma Ay - Murat İpek (Eşbaşkanlar)</t>
  </si>
  <si>
    <t>Merkez Yeni Mah. Cengiz Topel Cad. No:125, 21900 Kulp/Diyarbakır</t>
  </si>
  <si>
    <t>(0412) 831 20 36</t>
  </si>
  <si>
    <t>www.kulp.bel.tr</t>
  </si>
  <si>
    <t>Lice</t>
  </si>
  <si>
    <t>Dilek Diyar Özer - Fırat Demir (Eşbaşkanlar)</t>
  </si>
  <si>
    <t>Yenişehir Mah. Milli Güvenlik Cad. No:19, 21700 Lice/Diyarbakır</t>
  </si>
  <si>
    <t>(0412) 861 22 17</t>
  </si>
  <si>
    <t>www.lice.bel.tr</t>
  </si>
  <si>
    <t>Silvan</t>
  </si>
  <si>
    <t>Sevim Biçici - Kadri Esen (Eşbaşkanlar)</t>
  </si>
  <si>
    <t>Cami Mah. Diyarbakır Cad. No:51, 21640 Silvan/Diyarbakır</t>
  </si>
  <si>
    <t>(0412) 711 33 81</t>
  </si>
  <si>
    <t>www.silvan.bel.tr</t>
  </si>
  <si>
    <t>Sur</t>
  </si>
  <si>
    <t>Fatma Önkol - Adnan Örhan (Eşbaşkanlar)</t>
  </si>
  <si>
    <t>İskender Paşa Mah. İnönü Cad. No:37, Sur/Diyarbakır</t>
  </si>
  <si>
    <t>(0412) 280 10 00</t>
  </si>
  <si>
    <t>bilgiislem@sur.bel.tr</t>
  </si>
  <si>
    <t>www.sur.bel.tr</t>
  </si>
  <si>
    <t>Safiye Akdağ - Mehmet Ergün (Eşbaşkanlar)</t>
  </si>
  <si>
    <t>Fabrika Mah. 763. Sok. No:3, Yenişehir/Diyarbakır</t>
  </si>
  <si>
    <t>(0412) 228 96 54</t>
  </si>
  <si>
    <t>halklailiskiler@diyarbakiryenisehir.bel.tr</t>
  </si>
  <si>
    <t>www.diyarbakiryenisehir.bel.tr</t>
  </si>
  <si>
    <t>Edirne</t>
  </si>
  <si>
    <t>Merkez (Edirne)</t>
  </si>
  <si>
    <t>Av. Filiz Gencan</t>
  </si>
  <si>
    <t>Babademirtaş, Mimar Sinan Cd. No:1, 22000 Edirne Merkez/Edirne</t>
  </si>
  <si>
    <t>0(284) 213 91 40/48</t>
  </si>
  <si>
    <t>info@edirne.bel.tr</t>
  </si>
  <si>
    <t>www.edirne.bel.tr</t>
  </si>
  <si>
    <t>Enez</t>
  </si>
  <si>
    <t>Özkan Günenç</t>
  </si>
  <si>
    <t>Gazi Ömer Bey Mah. Yunus Gazi Sokak No:3, 22700 Enez/Edirne</t>
  </si>
  <si>
    <t>0284 811 60 09</t>
  </si>
  <si>
    <t>www.enez.bel.tr</t>
  </si>
  <si>
    <t>Havsa</t>
  </si>
  <si>
    <t>Hüseyin Özden</t>
  </si>
  <si>
    <t>Hacı İsa Mah. Fatih Cad. No:186, Havsa/Edirne</t>
  </si>
  <si>
    <t>0284 336 10 09</t>
  </si>
  <si>
    <t>belediye22@gmail.com</t>
  </si>
  <si>
    <t>www.havsa.bel.tr</t>
  </si>
  <si>
    <t>İpsala</t>
  </si>
  <si>
    <t>Mehmet Kerman</t>
  </si>
  <si>
    <t>0284 616 10 11</t>
  </si>
  <si>
    <t>iletisim@ipsala.bel.tr</t>
  </si>
  <si>
    <t>www.ipsala.bel.tr</t>
  </si>
  <si>
    <t>Keşan</t>
  </si>
  <si>
    <t>Op. Dr. Mehmet Özcan</t>
  </si>
  <si>
    <t>Yukarı Zaferiye Mahallesi İlyas Bey Cad. No:23, Keşan/Edirne</t>
  </si>
  <si>
    <t>0284 714 11 85</t>
  </si>
  <si>
    <t>halklailiskiler@kesan.bel.tr</t>
  </si>
  <si>
    <t>www.kesan.bel.tr</t>
  </si>
  <si>
    <t>Lalapaşa</t>
  </si>
  <si>
    <t>Zafer Sezgin Geldi</t>
  </si>
  <si>
    <t>Merkez Mahallesi, Cumhuriyet Caddesi, No: 28, 22950 Lalapaşa/EDİRNE</t>
  </si>
  <si>
    <t>0284 321 41 07</t>
  </si>
  <si>
    <t>lalapasa-bld@hotmail.com</t>
  </si>
  <si>
    <t>www.lalapasa.bel.tr</t>
  </si>
  <si>
    <t>Meriç</t>
  </si>
  <si>
    <t>Yunus Atay</t>
  </si>
  <si>
    <t>Büyük Doğanca, Ptt Sk. No:2, 22600 Meriç/Edirne</t>
  </si>
  <si>
    <t>0284 415 13 86</t>
  </si>
  <si>
    <t>info@meric.bel.tr</t>
  </si>
  <si>
    <t>www.meric.bel.tr</t>
  </si>
  <si>
    <t>Süloğlu</t>
  </si>
  <si>
    <t>Mehmet Ormankıran</t>
  </si>
  <si>
    <t>Merkez Mah. Kemalbalıkesir Cad. No:46, Süloğlu/Edirne</t>
  </si>
  <si>
    <t>0284 311 30 02</t>
  </si>
  <si>
    <t>suloglubelediyesi@outlook.com</t>
  </si>
  <si>
    <t>www.suloglu.bel.tr</t>
  </si>
  <si>
    <t>Uzunköprü</t>
  </si>
  <si>
    <t>Ediz Martin</t>
  </si>
  <si>
    <t>Cumhuriyet Mahallesi 19 Mayıs Caddesi No:160, Uzunköprü/Edirne</t>
  </si>
  <si>
    <t>0284 513 11 43</t>
  </si>
  <si>
    <t>ozelkalem@uzunkopru.bel.tr</t>
  </si>
  <si>
    <t>www.uzunkopru.bel.tr</t>
  </si>
  <si>
    <t>Elazığ</t>
  </si>
  <si>
    <t>Şahin ŞERİFOĞULLARI</t>
  </si>
  <si>
    <t>Cumhuriyet Mah. Malatya Caddesi No:34, Elazığ</t>
  </si>
  <si>
    <t>0424 248 47 01</t>
  </si>
  <si>
    <t>elazig@elazig.bel.tr</t>
  </si>
  <si>
    <t>https://www.elazig.bel.tr</t>
  </si>
  <si>
    <t>Ağın</t>
  </si>
  <si>
    <t>Şeref ÇAKAR</t>
  </si>
  <si>
    <t>Merkez, Şehit Mehmet Yavuz Cad., 23960 Ağın/Elazığ</t>
  </si>
  <si>
    <t>0424 551 20 18</t>
  </si>
  <si>
    <t>info@agin.bel.tr</t>
  </si>
  <si>
    <t>https://agin.bel.tr</t>
  </si>
  <si>
    <t>Alacakaya</t>
  </si>
  <si>
    <t>Zafer ALTINIŞIK</t>
  </si>
  <si>
    <t>Siyahan Mahallesi, Merkez/Alacakaya/Elazığ</t>
  </si>
  <si>
    <t>0424 481 64 73</t>
  </si>
  <si>
    <t>bilgi@alacakaya.bel.tr</t>
  </si>
  <si>
    <t>http://alacakaya.bel.tr</t>
  </si>
  <si>
    <t>Arıcak</t>
  </si>
  <si>
    <t>Mehmet Yılmaz YALÇINKAYA</t>
  </si>
  <si>
    <t>Halil Yavuz Mah. Buni Cad. 102 Sok. No:2, Arıcak/Elazığ</t>
  </si>
  <si>
    <t>0424 771 20 03</t>
  </si>
  <si>
    <t>iletisim@aricak.bel.tr</t>
  </si>
  <si>
    <t>https://aricak.bel.tr</t>
  </si>
  <si>
    <t>Baskil</t>
  </si>
  <si>
    <t>Tuncer TURUS</t>
  </si>
  <si>
    <t>Baskil/Elazığ</t>
  </si>
  <si>
    <t>0424 511 21 66</t>
  </si>
  <si>
    <t>baskil@baskil.bel.tr</t>
  </si>
  <si>
    <t>https://www.baskil.bel.tr</t>
  </si>
  <si>
    <t>Karakoçan</t>
  </si>
  <si>
    <t>Cafer OĞUR / Songül DÜZGÜN (Eş Başkanlar)</t>
  </si>
  <si>
    <t>Yeni Mahalle Hükümet Meydanı No:6/2, Karakoçan/Elazığ</t>
  </si>
  <si>
    <t>0424 711 24 44</t>
  </si>
  <si>
    <t>karakocan@karakocan.bel.tr</t>
  </si>
  <si>
    <t>https://www.karakocan.bel.tr</t>
  </si>
  <si>
    <t>Keban</t>
  </si>
  <si>
    <t>Yücel DOĞAN</t>
  </si>
  <si>
    <t>Kallar Mah. Cumhuriyet Cad. No:8, Keban/Elazığ</t>
  </si>
  <si>
    <t>0424 571 20 10</t>
  </si>
  <si>
    <t>info@keban.bel.tr</t>
  </si>
  <si>
    <t>http://www.keban.bel.tr</t>
  </si>
  <si>
    <t>Kovancılar</t>
  </si>
  <si>
    <t>Vahap GÖK</t>
  </si>
  <si>
    <t>Çarşı Başı, İlhami Ertem Cd., 23000 Kovancılar/Elazığ</t>
  </si>
  <si>
    <t>0424 611 34 15</t>
  </si>
  <si>
    <t>info@kovancilar.bel.tr</t>
  </si>
  <si>
    <t>https://www.kovancilar.bel.tr</t>
  </si>
  <si>
    <t>Maden</t>
  </si>
  <si>
    <t>Musa ORHAN</t>
  </si>
  <si>
    <t>Cami-i Kebir Mah. Musa Coşkun Sokak, Maden/Elazığ</t>
  </si>
  <si>
    <t>0424 441 20 09</t>
  </si>
  <si>
    <t>maden@maden.bel.tr</t>
  </si>
  <si>
    <t>http://www.maden.bel.tr</t>
  </si>
  <si>
    <t>Palu</t>
  </si>
  <si>
    <t>Muhammet SEPTİOĞLU</t>
  </si>
  <si>
    <t>Palu/Elazığ</t>
  </si>
  <si>
    <t>0424 651 20 04</t>
  </si>
  <si>
    <t>belediye@palu.bel.tr</t>
  </si>
  <si>
    <t>https://www.palu.bel.tr</t>
  </si>
  <si>
    <t>Sivrice</t>
  </si>
  <si>
    <t>Ebubekir IRMAK</t>
  </si>
  <si>
    <t>Gölbaşı Mah. Ahmet Kabaklı Cad. No:25 Sivrice / ELAZIĞ</t>
  </si>
  <si>
    <t>0424 411 23 05</t>
  </si>
  <si>
    <t>info@sivrice.bel.tr</t>
  </si>
  <si>
    <t>https://www.sivrice.bel.tr</t>
  </si>
  <si>
    <t>Erzincan</t>
  </si>
  <si>
    <t>Bekir Aksun</t>
  </si>
  <si>
    <t>Bahçelievler Mah. Halit Paşa Cad. No: 58, 24050 Merkez / Erzincan</t>
  </si>
  <si>
    <t>444 9 024</t>
  </si>
  <si>
    <t>beyazmasa@erzincan.bel.tr</t>
  </si>
  <si>
    <t>www.erzincan.bel.tr</t>
  </si>
  <si>
    <t>Çayırlı</t>
  </si>
  <si>
    <t>Oktay Efe</t>
  </si>
  <si>
    <t>Fatih Mah. Kazım Karabekir Cad. Çayırlı/Erzincan</t>
  </si>
  <si>
    <t>0 (446) 311 22 28</t>
  </si>
  <si>
    <t>bilgi@cayirli.bel.tr</t>
  </si>
  <si>
    <t>www.cayirli.bel.tr</t>
  </si>
  <si>
    <t>İliç</t>
  </si>
  <si>
    <t>Mehmet Elçi</t>
  </si>
  <si>
    <t>0446 711 20 03</t>
  </si>
  <si>
    <t>ilic@ilic.bel.tr</t>
  </si>
  <si>
    <t>www.ilic.bel.tr</t>
  </si>
  <si>
    <t>Kemah</t>
  </si>
  <si>
    <t>Cevdet Bayram</t>
  </si>
  <si>
    <t>Çarşı Mh. Kemalcantürk Cd. Kemah/Erzincan</t>
  </si>
  <si>
    <t>0446 511 20 06</t>
  </si>
  <si>
    <t>info@kemah.bel.tr</t>
  </si>
  <si>
    <t>www.kemah.bel.tr</t>
  </si>
  <si>
    <t>Kemaliye</t>
  </si>
  <si>
    <t>Erdem Atmaca</t>
  </si>
  <si>
    <t>Kemaliye, 24600 Kemaliye/Erzincan</t>
  </si>
  <si>
    <t>0446 751 20 16</t>
  </si>
  <si>
    <t>info@kemaliye.bel.tr</t>
  </si>
  <si>
    <t>www.kemaliye.bel.tr</t>
  </si>
  <si>
    <t>Otlukbeli</t>
  </si>
  <si>
    <t>Yusuf Tektaş</t>
  </si>
  <si>
    <t>Fatih Mah. 15 Temmuz Şehitler Meydanı No:1 Otlukbeli/Erzincan</t>
  </si>
  <si>
    <t>0 (446) 361 20 04</t>
  </si>
  <si>
    <t>otlukbelibelediyesi@gmail.com</t>
  </si>
  <si>
    <t>www.otlukbeli.bel.tr</t>
  </si>
  <si>
    <t>Refahiye</t>
  </si>
  <si>
    <t>Fatih Kök</t>
  </si>
  <si>
    <t>Camiişerif Mah. Saadettin Karaman Sk. No:13 Refahiye/Erzincan</t>
  </si>
  <si>
    <t>0446 611 20 16</t>
  </si>
  <si>
    <t>bilgi@refahiye.bel.tr</t>
  </si>
  <si>
    <t>www.refahiye.bel.tr</t>
  </si>
  <si>
    <t>Tercan</t>
  </si>
  <si>
    <t>Mehmet Yılmaz</t>
  </si>
  <si>
    <t>0446 441 30 13</t>
  </si>
  <si>
    <t>info@tercan.bel.tr</t>
  </si>
  <si>
    <t>www.tercan.bel.tr</t>
  </si>
  <si>
    <t>Üzümlü</t>
  </si>
  <si>
    <t>Lütfi Yakut</t>
  </si>
  <si>
    <t>Çay Mah. Şeyh Bağı Cad. No:2 Üzümlü/Erzincan</t>
  </si>
  <si>
    <t>0446 411 34 35</t>
  </si>
  <si>
    <t>uzumlu@uzumlu.bel.tr</t>
  </si>
  <si>
    <t>www.uzumlu.bel.tr</t>
  </si>
  <si>
    <t>Erzurum</t>
  </si>
  <si>
    <t>Aşkale</t>
  </si>
  <si>
    <t>Şenol POLAT</t>
  </si>
  <si>
    <t>Cahit Aybar Mahallesi, İstanbul Caddesi, 25500 Aşkale/Erzurum</t>
  </si>
  <si>
    <t>info@askale.bel.tr</t>
  </si>
  <si>
    <t>www.askale.bel.tr</t>
  </si>
  <si>
    <t>Aziziye</t>
  </si>
  <si>
    <t>Emrullah AKPUNAR</t>
  </si>
  <si>
    <t>Selçuklu Mahallesi, Belediyeönü Sokak No:1, Aziziye/Erzurum</t>
  </si>
  <si>
    <t>0 (444) 91 25</t>
  </si>
  <si>
    <t>aziziye@aziziye.bel.tr</t>
  </si>
  <si>
    <t>www.aziziye.bel.tr</t>
  </si>
  <si>
    <t>Çat</t>
  </si>
  <si>
    <t>Arif Hikmet KILIÇ</t>
  </si>
  <si>
    <t>Oyuklu Mahallesi, Cumhuriyet Caddesi No:1, 25750 Çat/Erzurum</t>
  </si>
  <si>
    <t>0 (442) 611 20 13</t>
  </si>
  <si>
    <t>bilgi@erzurumcat.bel.tr</t>
  </si>
  <si>
    <t>www.erzurumcat.bel.tr</t>
  </si>
  <si>
    <t>Hınıs</t>
  </si>
  <si>
    <t>Serdal ŞAN</t>
  </si>
  <si>
    <t>0 (442) 511 23 49</t>
  </si>
  <si>
    <t>bilgi@hinis.bel.tr</t>
  </si>
  <si>
    <t>www.hinis.bel.tr</t>
  </si>
  <si>
    <t>Horasan</t>
  </si>
  <si>
    <t>Hayrettin ÖZDEMİR</t>
  </si>
  <si>
    <t>Kazım Karabekir Mahallesi, Yavuz Selim Cad. No:48/1, Horasan/Erzurum</t>
  </si>
  <si>
    <t>0 (442) 711 42 00</t>
  </si>
  <si>
    <t>info@horasan.bel.tr</t>
  </si>
  <si>
    <t>www.horasan.bel.tr</t>
  </si>
  <si>
    <t>İspir</t>
  </si>
  <si>
    <t>Ahmet COŞKUN</t>
  </si>
  <si>
    <t>Yukarı Mahallesi, 25 Şubat Caddesi, Belediye Sarayı No:1, 25900 İspir/Erzurum</t>
  </si>
  <si>
    <t>0 (442) 451 30 92</t>
  </si>
  <si>
    <t>bilgi@ispir.bel.tr</t>
  </si>
  <si>
    <t>www.ispir.bel.tr</t>
  </si>
  <si>
    <t>Karaçoban</t>
  </si>
  <si>
    <t>Kazım ERHAN</t>
  </si>
  <si>
    <t>Kavaklı Mahallesi, Cumhuriyet Caddesi No:127, Karaçoban/Erzurum</t>
  </si>
  <si>
    <t>0 (442) 591 20 03</t>
  </si>
  <si>
    <t>karacobanbelediyesi@karacoban.bel.tr</t>
  </si>
  <si>
    <t>www.karacoban.bel.tr</t>
  </si>
  <si>
    <t>Karayazı</t>
  </si>
  <si>
    <t>Bahar GÖKSU</t>
  </si>
  <si>
    <t>Yeni Mahallesi, Cumhuriyet Caddesi, 25830 Karayazı/Erzurum</t>
  </si>
  <si>
    <t>0 (442) 541 21 74</t>
  </si>
  <si>
    <t>karayazi.bel@gmail.com</t>
  </si>
  <si>
    <t>www.karayazi.bel.tr</t>
  </si>
  <si>
    <t>Köprüköy</t>
  </si>
  <si>
    <t>Nevzat KARASU</t>
  </si>
  <si>
    <t>Necati Erer Caddesi, 25340 Köprüköy/Erzurum</t>
  </si>
  <si>
    <t>0 (442) 691 20 97</t>
  </si>
  <si>
    <t>info@koprukoy.bel.tr</t>
  </si>
  <si>
    <t>www.koprukoy.bel.tr</t>
  </si>
  <si>
    <t>Narman</t>
  </si>
  <si>
    <t>Aydemir Adem KINALI</t>
  </si>
  <si>
    <t>Tuzla Mahallesi, Sümmani Caddesi No:2, Narman/Erzurum</t>
  </si>
  <si>
    <t>0 (442) 741 34 64</t>
  </si>
  <si>
    <t>info@narman.bel.tr</t>
  </si>
  <si>
    <t>www.narman.bel.tr</t>
  </si>
  <si>
    <t>Oltu</t>
  </si>
  <si>
    <t>Adem ÇELEBİ</t>
  </si>
  <si>
    <t>Aslanpaşa Mahallesi, Atatürk Caddesi No:12, 25400 Oltu/Erzurum</t>
  </si>
  <si>
    <t>0 (442) 816 11 37</t>
  </si>
  <si>
    <t>oltu@oltu.bel.tr</t>
  </si>
  <si>
    <t>www.oltu.bel.tr</t>
  </si>
  <si>
    <t>Olur</t>
  </si>
  <si>
    <t>Vedat ERGÜN</t>
  </si>
  <si>
    <t>Merkez Mahallesi, Hürriyet Caddesi No:60, Olur/Erzurum</t>
  </si>
  <si>
    <t>olur@olur.bel.tr</t>
  </si>
  <si>
    <t>www.olur.bel.tr</t>
  </si>
  <si>
    <t>Palandöken</t>
  </si>
  <si>
    <t>Muhammet SUNAR</t>
  </si>
  <si>
    <t>Adnan Menderes Mahallesi, Yavuz Sultan Selim Bulvarı No:4, 25070 Palandöken/Erzurum</t>
  </si>
  <si>
    <t>0 (442) 317 05 94</t>
  </si>
  <si>
    <t>palandoken@palandoken.bel.tr</t>
  </si>
  <si>
    <t>www.palandoken.bel.tr</t>
  </si>
  <si>
    <t>Pasinler</t>
  </si>
  <si>
    <t>Ünsal SERTOĞLU</t>
  </si>
  <si>
    <t>0 (442) 661 35 84</t>
  </si>
  <si>
    <t>info@pasinler.bel.tr</t>
  </si>
  <si>
    <t>www.pasinler.bel.tr</t>
  </si>
  <si>
    <t>Pazaryolu</t>
  </si>
  <si>
    <t>İbrahim ŞAHİN</t>
  </si>
  <si>
    <t>Ankara Caddesi No:1, Pazaryolu/Erzurum</t>
  </si>
  <si>
    <t>0 (442) 481 21 21</t>
  </si>
  <si>
    <t>iletisim@pazaryolu.bel.tr</t>
  </si>
  <si>
    <t>www.pazaryolu.bel.tr</t>
  </si>
  <si>
    <t>Şenkaya</t>
  </si>
  <si>
    <t>Görbil ÖZCAN</t>
  </si>
  <si>
    <t>Atatürk Caddesi No:25, Şenkaya/Erzurum</t>
  </si>
  <si>
    <t>0442 861 20 65</t>
  </si>
  <si>
    <t>senkaya@senkaya.bel.tr</t>
  </si>
  <si>
    <t>www.senkaya.bel.tr</t>
  </si>
  <si>
    <t>Tekman</t>
  </si>
  <si>
    <t>Abdurrahman SEVER</t>
  </si>
  <si>
    <t>0 (442) 561 20 19</t>
  </si>
  <si>
    <t>bilgi@tekman.bel.tr</t>
  </si>
  <si>
    <t>www.tekman.bel.tr</t>
  </si>
  <si>
    <t>Tortum</t>
  </si>
  <si>
    <t>Muammer YİĞİDER</t>
  </si>
  <si>
    <t>Erzurum Caddesi No:77/1, Tortum/Erzurum</t>
  </si>
  <si>
    <t>0 (442) 761 20 07</t>
  </si>
  <si>
    <t>tortum@tortum.bel.tr</t>
  </si>
  <si>
    <t>www.tortum.bel.tr</t>
  </si>
  <si>
    <t>Uzundere</t>
  </si>
  <si>
    <t>Muhammet Halis ÖZSOY</t>
  </si>
  <si>
    <t>Halis Özsoy Caddesi No:28, Uzundere/Erzurum</t>
  </si>
  <si>
    <t>0 (442) 791 32 95</t>
  </si>
  <si>
    <t>info@uzundere.bel.tr</t>
  </si>
  <si>
    <t>www.uzundere.bel.tr</t>
  </si>
  <si>
    <t>Yakutiye</t>
  </si>
  <si>
    <t>Dr. Mahmut UÇAR</t>
  </si>
  <si>
    <t>Murat Paşa Mahallesi, Ali Ravi Caddesi, 25100 Yakutiye/Erzurum</t>
  </si>
  <si>
    <t>0 (442) 235 26 10</t>
  </si>
  <si>
    <t>yakutiye@yakutiye.bel.tr</t>
  </si>
  <si>
    <t>www.yakutiye.bel.tr</t>
  </si>
  <si>
    <t>Eskişehir</t>
  </si>
  <si>
    <t>Odunpazarı</t>
  </si>
  <si>
    <t>Av. Kazım KURT</t>
  </si>
  <si>
    <t>Yenidoğan Mah. Çamkoru Sok. No:2 Odunpazarı/ESKİŞEHİR</t>
  </si>
  <si>
    <t>0222 213 30 30</t>
  </si>
  <si>
    <t>halkmasasi@odunpazari.bel.tr</t>
  </si>
  <si>
    <t>www.odunpazari.bel.tr</t>
  </si>
  <si>
    <t>Tepebaşı</t>
  </si>
  <si>
    <t>Dt. Ahmet ATAÇ</t>
  </si>
  <si>
    <t>Hoşnudiye Mah. Şahin Cd. No:84 26130 ESKİŞEHİR</t>
  </si>
  <si>
    <t>(222) 211 40 00</t>
  </si>
  <si>
    <t>bilgi@tepebasi.bel.tr</t>
  </si>
  <si>
    <t>www.tepebasi.bel.tr</t>
  </si>
  <si>
    <t>Alpu</t>
  </si>
  <si>
    <t>Gürbüz GÜLLER</t>
  </si>
  <si>
    <t>Fevzipaşa Mah. Kurtuluş Cad. No:5 Alpu/Eskişehir</t>
  </si>
  <si>
    <t>0(222) 511 23 13</t>
  </si>
  <si>
    <t>www.alpu.bel.tr</t>
  </si>
  <si>
    <t>Beylikova</t>
  </si>
  <si>
    <t>Av. Hakan KARABACAK</t>
  </si>
  <si>
    <t>Yeni Mah. İnönü Cd. No:63 26750 Beylikova/Eskişehir</t>
  </si>
  <si>
    <t>0222 531 30 30</t>
  </si>
  <si>
    <t>www.beylikova.bel.tr</t>
  </si>
  <si>
    <t>Çifteler</t>
  </si>
  <si>
    <t>Zehra KONAKCI</t>
  </si>
  <si>
    <t>Sakarya Mah. Hastane Cd. No:32 26700 Çifteler/Eskişehir</t>
  </si>
  <si>
    <t>(0222) 541 40 81</t>
  </si>
  <si>
    <t>ciftelerbelediyesi26@gmail.com</t>
  </si>
  <si>
    <t>www.cifteler.bel.tr</t>
  </si>
  <si>
    <t>Günyüzü</t>
  </si>
  <si>
    <t>Hidayet ÖZMEN</t>
  </si>
  <si>
    <t>Günyüzü Belediye Başkanlığı - ESKİŞEHİR</t>
  </si>
  <si>
    <t>0(222) 561 71 72</t>
  </si>
  <si>
    <t>bilgi@gunyuzu.bel.tr</t>
  </si>
  <si>
    <t>www.gunyuzu.bel.tr</t>
  </si>
  <si>
    <t>Han</t>
  </si>
  <si>
    <t>Erdal ŞANLI</t>
  </si>
  <si>
    <t>Cumhuriyet Meydanı No:1 Han/Eskişehir</t>
  </si>
  <si>
    <t>0(222) 581 60 53</t>
  </si>
  <si>
    <t>belediye@han.bel.tr</t>
  </si>
  <si>
    <t>www.han.bel.tr</t>
  </si>
  <si>
    <t>İnönü</t>
  </si>
  <si>
    <t>Serhat HAMAMCI</t>
  </si>
  <si>
    <t>İsmetpaşa Mah. Atatürk Cad. No:116 İNÖNÜ/ESKİŞEHİR</t>
  </si>
  <si>
    <t>bilgi@inonu.bel.tr</t>
  </si>
  <si>
    <t>www.inonu.bel.tr</t>
  </si>
  <si>
    <t>Mahmudiye</t>
  </si>
  <si>
    <t>İshak GÜNDOĞAN</t>
  </si>
  <si>
    <t>Orta Mah. Eskişehir Cd. No:124 Pk:26800 Mahmudiye/ESKİŞEHİR</t>
  </si>
  <si>
    <t>(0222) 611 30 57</t>
  </si>
  <si>
    <t>bilgi@mahmudiye.bel.tr</t>
  </si>
  <si>
    <t>www.mahmudiye.bel.tr</t>
  </si>
  <si>
    <t>Mihalgazi</t>
  </si>
  <si>
    <t>Zeynep Güneş AKGÜN</t>
  </si>
  <si>
    <t>Cumhuriyet Mah. Köprü Cad. No:4/3 Mihalgazi/Eskişehir</t>
  </si>
  <si>
    <t>www.mihalgazi.bel.tr</t>
  </si>
  <si>
    <t>Mihalıççık</t>
  </si>
  <si>
    <t>Haydar ÇORUM</t>
  </si>
  <si>
    <t>Camikebir Mah. Cumhuriyet Meydanı No:40 Mihalıççık/Eskişehir 26900</t>
  </si>
  <si>
    <t>0222 631 20 07</t>
  </si>
  <si>
    <t>bilgi@mihaliccik.bel.tr</t>
  </si>
  <si>
    <t>www.mihaliccik.bel.tr</t>
  </si>
  <si>
    <t>Sarıcakaya</t>
  </si>
  <si>
    <t>Ahmet DÖNMEZ</t>
  </si>
  <si>
    <t>Yeni Mah. Hürriyet Cad. No:96 Sarıcakaya/Eskişehir</t>
  </si>
  <si>
    <t>saricakaya@saricakaya.bel.tr</t>
  </si>
  <si>
    <t>www.saricakaya.bel.tr</t>
  </si>
  <si>
    <t>Seyitgazi</t>
  </si>
  <si>
    <t>Uğur TEPE</t>
  </si>
  <si>
    <t>İkiçeşme Mah. Afyon Cad. No:49 Seyitgazi/Eskişehir</t>
  </si>
  <si>
    <t>0(222) 671 34 65</t>
  </si>
  <si>
    <t>seyitgazi@seyitgazi.bel.tr</t>
  </si>
  <si>
    <t>www.seyitgazi.bel.tr</t>
  </si>
  <si>
    <t>Sivrihisar</t>
  </si>
  <si>
    <t>Habil DÖKMECİ</t>
  </si>
  <si>
    <t>Cumhuriyet Mah. Süleyman Demirel Cad. No:1 26600 Sivrihisar/Eskişehir</t>
  </si>
  <si>
    <t>0(222) 711 40 35</t>
  </si>
  <si>
    <t>bilgi@sivrihisar.bel.tr</t>
  </si>
  <si>
    <t>www.sivrihisar.bel.tr</t>
  </si>
  <si>
    <t>Gaziantep</t>
  </si>
  <si>
    <t>Şahinbey</t>
  </si>
  <si>
    <t>Mehmet TAHMAZOĞLU</t>
  </si>
  <si>
    <t>Kolejtepe Mah. Yeşilcami Cad. No:8 Şahinbey / Gaziantep</t>
  </si>
  <si>
    <t>444 27 01</t>
  </si>
  <si>
    <t>sahinbeybld@hs01.kep.tr</t>
  </si>
  <si>
    <t>www.sahinbey.bel.tr</t>
  </si>
  <si>
    <t>Şehitkamil</t>
  </si>
  <si>
    <t>Umut YILMAZ</t>
  </si>
  <si>
    <t>Sanayi Mah. 60725 Nolu Cad. No:34 Şehitkamil / Gaziantep</t>
  </si>
  <si>
    <t>0342 323 27 27</t>
  </si>
  <si>
    <t>belediye@sehitkamil.bel.tr</t>
  </si>
  <si>
    <t>www.sehitkamil.bel.tr</t>
  </si>
  <si>
    <t>Araban</t>
  </si>
  <si>
    <t>Mehmet ÖZDEMİR</t>
  </si>
  <si>
    <t>Turgut Özal Mah. Gaziantep Cad. No:59 Araban / Gaziantep</t>
  </si>
  <si>
    <t>0342 611 22 10</t>
  </si>
  <si>
    <t>iletisim@araban.bel.tr</t>
  </si>
  <si>
    <t>araban.bel.tr</t>
  </si>
  <si>
    <t>İslahiye</t>
  </si>
  <si>
    <t>Kemal VURAL</t>
  </si>
  <si>
    <t>Hacı Ali Öztürk Mahallesi, 20 Nolu Sokak, No: 6, 27800 İslahiye / Gaziantep</t>
  </si>
  <si>
    <t>0342 862 10 83</t>
  </si>
  <si>
    <t>info@islahiye.bel.tr</t>
  </si>
  <si>
    <t>www.islahiye.bel.tr</t>
  </si>
  <si>
    <t>Karkamış</t>
  </si>
  <si>
    <t>Mustafa GÜZEL</t>
  </si>
  <si>
    <t>0342 561 20 05</t>
  </si>
  <si>
    <t>info@karkamis.bel.tr</t>
  </si>
  <si>
    <t>karkamis.bel.tr</t>
  </si>
  <si>
    <t>Nizip</t>
  </si>
  <si>
    <t>Ali DOĞAN</t>
  </si>
  <si>
    <t>Mimar Sinan Mah. Niğbolu Sok. No:20 Nizip / Gaziantep</t>
  </si>
  <si>
    <t>0342 517 39 00</t>
  </si>
  <si>
    <t>www.nizip.bel.tr</t>
  </si>
  <si>
    <t>Nurdağı</t>
  </si>
  <si>
    <t>Mehmet YILDIRIR</t>
  </si>
  <si>
    <t>Bahçeli Evler Mah. Halide Edip Adıvar Cad. No:24 Nurdağı / Gaziantep</t>
  </si>
  <si>
    <t>0342 671 40 33</t>
  </si>
  <si>
    <t>belediye@nurdagi.bel.tr</t>
  </si>
  <si>
    <t>nurdagi.bel.tr</t>
  </si>
  <si>
    <t>Oğuzeli</t>
  </si>
  <si>
    <t>Bekir ÖZTEKİN</t>
  </si>
  <si>
    <t>Oğuzlar Mah. Belediye Cad. No:1 Oğuzeli / Gaziantep</t>
  </si>
  <si>
    <t>0342 571 30 14</t>
  </si>
  <si>
    <t>info@oguzeli.bel.tr</t>
  </si>
  <si>
    <t>oguzeli.bel.tr</t>
  </si>
  <si>
    <t>Yavuzeli</t>
  </si>
  <si>
    <t>Mehmet KAYA</t>
  </si>
  <si>
    <t>Cumhuriyet Mah. Mustafa Taşar Meydanı No:1 Yavuzeli / Gaziantep</t>
  </si>
  <si>
    <t>0342 641 21 35</t>
  </si>
  <si>
    <t>iletisim@yavuzeli.bel.tr</t>
  </si>
  <si>
    <t>www.yavuzeli.bel.tr</t>
  </si>
  <si>
    <t>Giresun</t>
  </si>
  <si>
    <t>Fuat Köse</t>
  </si>
  <si>
    <t>Hacımiktat Mah. Tabaklar Sok. No:1 Giresun</t>
  </si>
  <si>
    <t>444 4 028</t>
  </si>
  <si>
    <t>halklailiskiler@giresun.bel.tr</t>
  </si>
  <si>
    <t>https://giresun.bel.tr</t>
  </si>
  <si>
    <t>Alucra</t>
  </si>
  <si>
    <t>Faruk Demirağ</t>
  </si>
  <si>
    <t>Mesudiye Mah. Hürriyet Cad. No: 272 Alucra/Giresun</t>
  </si>
  <si>
    <t>(0454) 777 0 444</t>
  </si>
  <si>
    <t>bilgi@alucra.bel.tr</t>
  </si>
  <si>
    <t>https://www.alucra.bel.tr</t>
  </si>
  <si>
    <t>Bulancak</t>
  </si>
  <si>
    <t>Necmi Sıbıç</t>
  </si>
  <si>
    <t>Bulancak Mahallesi Cumhuriyet Meydanı No:1 Bulancak/Giresun</t>
  </si>
  <si>
    <t>444 28 44</t>
  </si>
  <si>
    <t>bulancak@bulancak.bel.tr</t>
  </si>
  <si>
    <t>https://www.bulancak.bel.tr</t>
  </si>
  <si>
    <t>Çamoluk</t>
  </si>
  <si>
    <t>Ergün Bakırhan</t>
  </si>
  <si>
    <t>Karşıyaka Mah. Şehit Pilot Üsteğmen İsmail Düz Cad. No:12 Çamoluk/Giresun</t>
  </si>
  <si>
    <t>0454 781 51 99</t>
  </si>
  <si>
    <t>yaziisleri@camoluk.bel.tr</t>
  </si>
  <si>
    <t>https://camoluk.bel.tr</t>
  </si>
  <si>
    <t>Çanakçı</t>
  </si>
  <si>
    <t>Tuncay Kasım</t>
  </si>
  <si>
    <t>Merkez Mahallesi, Belediye Meydanı No:6, 28810 Çanakçı/Giresun</t>
  </si>
  <si>
    <t>0454 591 20 54</t>
  </si>
  <si>
    <t>info@canakci.bel.tr</t>
  </si>
  <si>
    <t>https://www.canakci.bel.tr</t>
  </si>
  <si>
    <t>Dereli</t>
  </si>
  <si>
    <t>K. Zeki Şenlikoğlu</t>
  </si>
  <si>
    <t>Cumhuriyet Cad. No: 2, Dereli / Giresun</t>
  </si>
  <si>
    <t>0 454 381 30 07</t>
  </si>
  <si>
    <t>dereli@dereli.bel.tr</t>
  </si>
  <si>
    <t>https://www.dereli.bel.tr</t>
  </si>
  <si>
    <t>Doğankent</t>
  </si>
  <si>
    <t>Rüşan Özden</t>
  </si>
  <si>
    <t>Merkez, 28510 Doğankent/Giresun</t>
  </si>
  <si>
    <t>0 (454) 471 50 30</t>
  </si>
  <si>
    <t>bilgi@dogankent.bel.tr</t>
  </si>
  <si>
    <t>https://www.dogankent.bel.tr</t>
  </si>
  <si>
    <t>Espiye</t>
  </si>
  <si>
    <t>Erol Karadere</t>
  </si>
  <si>
    <t>Merkez Mahallesi G.M.K Caddesi Şehit Özgün Özdemir Sokak No:11 Espiye/Giresun</t>
  </si>
  <si>
    <t>0 454 611 41 50</t>
  </si>
  <si>
    <t>https://www.espiye.bel.tr</t>
  </si>
  <si>
    <t>Eynesil</t>
  </si>
  <si>
    <t>Barış Güdük</t>
  </si>
  <si>
    <t>Sahil Cad. Trabzon-Giresun Yolu Üzeri Eynesil/Giresun</t>
  </si>
  <si>
    <t>0454 581 30 01</t>
  </si>
  <si>
    <t>bilgi@eynesil.bel.tr</t>
  </si>
  <si>
    <t>https://www.eynesil.bel.tr</t>
  </si>
  <si>
    <t>Görele</t>
  </si>
  <si>
    <t>Hasbi Dede*</t>
  </si>
  <si>
    <t>Salih Sinirlioğlu Cd. No:12 28800 Görele/Giresun</t>
  </si>
  <si>
    <t>444 28 20</t>
  </si>
  <si>
    <t>info@gorele.bel.tr</t>
  </si>
  <si>
    <t>https://www.gorele.bel.tr</t>
  </si>
  <si>
    <t>Güce</t>
  </si>
  <si>
    <t>Aytekin Boduroğlu</t>
  </si>
  <si>
    <t>Güce/Giresun</t>
  </si>
  <si>
    <t>0 (454) 451 6023</t>
  </si>
  <si>
    <t>info@guce.bel.tr</t>
  </si>
  <si>
    <t>https://www.guce.bel.tr</t>
  </si>
  <si>
    <t>Keşap</t>
  </si>
  <si>
    <t>Tuncay Muhammet Arışan</t>
  </si>
  <si>
    <t>Bozkurt Mahallesi, Talip Efendi Caddesi No:28, 28300 Keşap / GİRESUN</t>
  </si>
  <si>
    <t>0454 641 40 44</t>
  </si>
  <si>
    <t>bilgi@kesap.bel.tr</t>
  </si>
  <si>
    <t>https://www.kesap.bel.tr</t>
  </si>
  <si>
    <t>Piraziz</t>
  </si>
  <si>
    <t>Mahmut Esat Ayyıldız</t>
  </si>
  <si>
    <t>Yeni Mahalle Bahtiyar Aydın Paşa Bulvarı No:1 Piraziz/Giresun 28340</t>
  </si>
  <si>
    <t>0454 361 30 16</t>
  </si>
  <si>
    <t>piraziz@piraziz.bel.tr</t>
  </si>
  <si>
    <t>https://piraziz.bel.tr</t>
  </si>
  <si>
    <t>Şebinkarahisar</t>
  </si>
  <si>
    <t>Ömer Şentürk</t>
  </si>
  <si>
    <t>Bülbül Mah. Halil Rıfat Paşa Cad. No:47 Şebinkarahisar/Giresun</t>
  </si>
  <si>
    <t>0 (454) 711 40 05</t>
  </si>
  <si>
    <t>belediye@sebinkarahisar.bel.tr</t>
  </si>
  <si>
    <t>https://www.sebinkarahisar.bel.tr</t>
  </si>
  <si>
    <t>Tirebolu</t>
  </si>
  <si>
    <t>Bülent Kara</t>
  </si>
  <si>
    <t>Çarşı Mah. Gazipaşa Cad. No:198 Tirebolu/Giresun</t>
  </si>
  <si>
    <t>0454 411 40 16</t>
  </si>
  <si>
    <t>info@tirebolu.bel.tr</t>
  </si>
  <si>
    <t>https://www.tirebolu.bel.tr</t>
  </si>
  <si>
    <t>Yağlıdere</t>
  </si>
  <si>
    <t>Yaşar İbaş</t>
  </si>
  <si>
    <t>Merkez Mahallesi - Sağsıağzı Caddesi No:1/1 Yağlıdere/Giresun</t>
  </si>
  <si>
    <t>0 454 671 20 40</t>
  </si>
  <si>
    <t>yagliderebelediye@gmail.com</t>
  </si>
  <si>
    <t>https://www.yaglidere.bel.tr</t>
  </si>
  <si>
    <t>Gümüşhane</t>
  </si>
  <si>
    <t>Merkez (Gümüşhane)</t>
  </si>
  <si>
    <t>Vedat Soner Başer</t>
  </si>
  <si>
    <t>Karaer Mahallesi Atatürk Caddesi, Belediye Hizmet Binası, Merkez/GÜMÜŞHANE</t>
  </si>
  <si>
    <t>0456 213 73 00</t>
  </si>
  <si>
    <t>info@gumushane.bel.tr</t>
  </si>
  <si>
    <t>www.gumushane.bel.tr</t>
  </si>
  <si>
    <t>Kelkit</t>
  </si>
  <si>
    <t>Ünal Yılmaz</t>
  </si>
  <si>
    <t>Atatürk Mahallesi Hükümet Caddesi No:6, Kelkit/GÜMÜŞHANE</t>
  </si>
  <si>
    <t>0456 317 10 09</t>
  </si>
  <si>
    <t>info@kelkit.bel.tr</t>
  </si>
  <si>
    <t>www.kelkit.bel.tr</t>
  </si>
  <si>
    <t>Köse</t>
  </si>
  <si>
    <t>Turgay Kesler</t>
  </si>
  <si>
    <t>Yeni Mahalle Atatürk Caddesi No:7, Köse/GÜMÜŞHANE</t>
  </si>
  <si>
    <t>0456 411 50 62</t>
  </si>
  <si>
    <t>info@kose.bel.tr</t>
  </si>
  <si>
    <t>www.kose.bel.tr</t>
  </si>
  <si>
    <t>Kürtün</t>
  </si>
  <si>
    <t>Ahmet Kanat</t>
  </si>
  <si>
    <t>Yukarı Uluköy Mahallesi, Gümüşhane-Giresun Yolu No:5, 29830 Kürtün/GÜMÜŞHANE</t>
  </si>
  <si>
    <t>0456 711 65 12</t>
  </si>
  <si>
    <t>info@kurtun.bel.tr</t>
  </si>
  <si>
    <t>www.kurtun.bel.tr</t>
  </si>
  <si>
    <t>Şiran</t>
  </si>
  <si>
    <t>Abdulbaki Kara</t>
  </si>
  <si>
    <t>Karaca Mahallesi, Ethembey Caddesi, PK:29700, Şiran/GÜMÜŞHANE</t>
  </si>
  <si>
    <t>0456 511 70 21</t>
  </si>
  <si>
    <t>info@siran.bel.tr</t>
  </si>
  <si>
    <t>www.siran.bel.tr</t>
  </si>
  <si>
    <t>Torul</t>
  </si>
  <si>
    <t>Evren Evrim Özdemir</t>
  </si>
  <si>
    <t>Tuğrulbey Mahallesi, Atatürk Caddesi, Torul/GÜMÜŞHANE</t>
  </si>
  <si>
    <t>0456 611 20 23</t>
  </si>
  <si>
    <t>info@torul.bel.tr</t>
  </si>
  <si>
    <t>www.torul.bel.tr</t>
  </si>
  <si>
    <t>Hakkari</t>
  </si>
  <si>
    <t>İbrahim TAŞYAPAN (Vali/Bşk. Vekili)</t>
  </si>
  <si>
    <t>Bulak Mahallesi Altay Caddesi No:8, 30000 Hakkâri Merkez/Hakkari</t>
  </si>
  <si>
    <t>(0438) 211 61 81</t>
  </si>
  <si>
    <t>bilgi@hakkari.bel.tr</t>
  </si>
  <si>
    <t>www.hakkari.bel.tr</t>
  </si>
  <si>
    <t>Çukurca</t>
  </si>
  <si>
    <t>Nazmi DEMİR</t>
  </si>
  <si>
    <t>Yeşil Çeşme, Çukurca Yolu, 30700 Çukurca/Hakkari</t>
  </si>
  <si>
    <t>(0438) 511 20 87</t>
  </si>
  <si>
    <t>www.cukurca.bel.tr</t>
  </si>
  <si>
    <t>Derecik</t>
  </si>
  <si>
    <t>Hasan DİNÇ</t>
  </si>
  <si>
    <t>Merkez Mah. Vatan Cad. No:1, Derecik/HAKKARİ</t>
  </si>
  <si>
    <t>(0438) 461 32 81</t>
  </si>
  <si>
    <t>info@derecik.bel.tr</t>
  </si>
  <si>
    <t>www.derecik.bel.tr</t>
  </si>
  <si>
    <t>Şemdinli</t>
  </si>
  <si>
    <t>Fahri ŞAKAR</t>
  </si>
  <si>
    <t>Moda Mah. Ali Fuat Güven Cd. No:25, 30800 Şemdinli/Hakkari</t>
  </si>
  <si>
    <t>(0438) 411 20 12</t>
  </si>
  <si>
    <t>info@semdinli.bel.tr</t>
  </si>
  <si>
    <t>www.semdinli.bel.tr</t>
  </si>
  <si>
    <t>Yüksekova</t>
  </si>
  <si>
    <t>Şadiye KIRMIZIGÜL / Şoreş DİRİ (Eşbaşkanlar)</t>
  </si>
  <si>
    <t>Esenyurt Mahallesi, İpek Yolu Caddesi No:266A, Yüksekova/Hakkari</t>
  </si>
  <si>
    <t>(0438) 351 45 65</t>
  </si>
  <si>
    <t>www.yuksekova.bel.tr</t>
  </si>
  <si>
    <t>Hatay</t>
  </si>
  <si>
    <t>Hatay Büyükşehir Belediyesi</t>
  </si>
  <si>
    <t>Mehmet Öntürk</t>
  </si>
  <si>
    <t>Kisecik Mahallesi, Hatay Büyükşehir Belediyesi Yerleşkesi, Antakya/Hatay</t>
  </si>
  <si>
    <t>0326 214 91 90</t>
  </si>
  <si>
    <t>iletisim@hatay.bel.tr</t>
  </si>
  <si>
    <t>www.hatay.bel.tr</t>
  </si>
  <si>
    <t>Altınözü Belediyesi</t>
  </si>
  <si>
    <t>Rıfat Sarı</t>
  </si>
  <si>
    <t>Zeytindalı Mah. Kalınsan Sok. No:1, Altınözü / Hatay</t>
  </si>
  <si>
    <t>0326 219 63 63</t>
  </si>
  <si>
    <t>info@altinozu.bel.tr</t>
  </si>
  <si>
    <t>www.altinozu.bel.tr</t>
  </si>
  <si>
    <t>Antakya Belediyesi</t>
  </si>
  <si>
    <t>İbrahim Naci Yapar</t>
  </si>
  <si>
    <t>Fevzi Çakmak Mahallesi, Uğur Mumcu Caddesi No:33, Antakya/Hatay</t>
  </si>
  <si>
    <t>444 44 31</t>
  </si>
  <si>
    <t>info@antakya.bel.tr</t>
  </si>
  <si>
    <t>www.antakya.bel.tr</t>
  </si>
  <si>
    <t>Arsuz Belediyesi</t>
  </si>
  <si>
    <t>Sami Üstün</t>
  </si>
  <si>
    <t>Akçalı Mahallesi, 856. Sokak No:3, 31320 Arsuz/Hatay</t>
  </si>
  <si>
    <t>0326 661 21 11</t>
  </si>
  <si>
    <t>belediye@arsuz.bel.tr</t>
  </si>
  <si>
    <t>www.arsuz.bel.tr</t>
  </si>
  <si>
    <t>Belen Belediyesi</t>
  </si>
  <si>
    <t>İbrahim Gül</t>
  </si>
  <si>
    <t>Muhlisali Mahallesi, Kurtuluş Caddesi No:68, Belen/Hatay</t>
  </si>
  <si>
    <t>0326 441 21 00</t>
  </si>
  <si>
    <t>info@belen.bel.tr</t>
  </si>
  <si>
    <t>www.belen.bel.tr</t>
  </si>
  <si>
    <t>Defne Belediyesi</t>
  </si>
  <si>
    <t>Halil İbrahim Özgün</t>
  </si>
  <si>
    <t>Harbiye Mahallesi, Atatürk Bulvarı, No: 265, 31080 Defne/Hatay</t>
  </si>
  <si>
    <t>444 53 24</t>
  </si>
  <si>
    <t>iletisim@defne.bel.tr</t>
  </si>
  <si>
    <t>www.defne.bel.tr</t>
  </si>
  <si>
    <t>Dörtyol Belediyesi</t>
  </si>
  <si>
    <t>Dr. Bahadır Amaç</t>
  </si>
  <si>
    <t>Numune Evler Mahallesi, İstasyon Caddesi No:2, 31600 Dörtyol/Hatay</t>
  </si>
  <si>
    <t>444 7 712</t>
  </si>
  <si>
    <t>yaziisleri@dortyol.bel.tr</t>
  </si>
  <si>
    <t>www.dortyol.bel.tr</t>
  </si>
  <si>
    <t>Erzin Belediyesi</t>
  </si>
  <si>
    <t>Ökkeş Elmasoğlu</t>
  </si>
  <si>
    <t>Cumhuriyet Mahallesi, Demokrasi Caddesi No:5, 31960 Erzin/Hatay</t>
  </si>
  <si>
    <t>0326 681 50 07</t>
  </si>
  <si>
    <t>www.erzin.bel.tr</t>
  </si>
  <si>
    <t>Hassa Belediyesi</t>
  </si>
  <si>
    <t>Selahattin Çolak</t>
  </si>
  <si>
    <t>Girne Mahallesi, 81. Sokak No:5, Hassa/Hatay</t>
  </si>
  <si>
    <t>0326 771 63 66</t>
  </si>
  <si>
    <t>info@hassa.bel.tr</t>
  </si>
  <si>
    <t>www.hassa.bel.tr</t>
  </si>
  <si>
    <t>İskenderun Belediyesi</t>
  </si>
  <si>
    <t>Mehmet Dönmez</t>
  </si>
  <si>
    <t>Yenişehir Mahallesi, Mareşal Çakmak Caddesi No:48, İskenderun/Hatay</t>
  </si>
  <si>
    <t>0326 613 49 90</t>
  </si>
  <si>
    <t>bilgi@iskenderun.bel.tr</t>
  </si>
  <si>
    <t>www.iskenderun.bel.tr</t>
  </si>
  <si>
    <t>Kırıkhan Belediyesi</t>
  </si>
  <si>
    <t>Ömer Erdal Çelik</t>
  </si>
  <si>
    <t>Mimar Sinan Mahallesi, 767. Sokak No:25, Kırıkhan/Hatay</t>
  </si>
  <si>
    <t>0326 344 17 79</t>
  </si>
  <si>
    <t>info@kirikhan.bel.tr</t>
  </si>
  <si>
    <t>www.kirikhan.bel.tr</t>
  </si>
  <si>
    <t>Kumlu Belediyesi</t>
  </si>
  <si>
    <t>İbrahim Paç</t>
  </si>
  <si>
    <t>0326 461 20 88</t>
  </si>
  <si>
    <t>www.kumlu.bel.tr</t>
  </si>
  <si>
    <t>Payas Belediyesi</t>
  </si>
  <si>
    <t>Bekir Altan</t>
  </si>
  <si>
    <t>Yıldırım Beyazıt Mahallesi, Şehit Yüzbaşı Ali Oğuz Bulvarı No:52, Payas/Hatay</t>
  </si>
  <si>
    <t>0326 755 78 00</t>
  </si>
  <si>
    <t>ebelediye@payas.bel.tr</t>
  </si>
  <si>
    <t>www.payas.bel.tr</t>
  </si>
  <si>
    <t>Reyhanlı Belediyesi</t>
  </si>
  <si>
    <t>Ahmet Salman Yumuşak</t>
  </si>
  <si>
    <t>Yeni Mahallesi, Atatürk Caddesi, Reyhanlı/Hatay</t>
  </si>
  <si>
    <t>444 5 731</t>
  </si>
  <si>
    <t>www.reyhanli.bel.tr</t>
  </si>
  <si>
    <t>Samandağ Belediyesi</t>
  </si>
  <si>
    <t>Emrah Karaçay</t>
  </si>
  <si>
    <t>Cumhuriyet Mahallesi, Kent Sokak No:18, Samandağ/Hatay</t>
  </si>
  <si>
    <t>0326 512 10 07</t>
  </si>
  <si>
    <t>iletisim@samandag.bel.tr</t>
  </si>
  <si>
    <t>www.samandag.bel.tr</t>
  </si>
  <si>
    <t>Yayladağı Belediyesi</t>
  </si>
  <si>
    <t>Mehmet Yalçın</t>
  </si>
  <si>
    <t>Çamalt Mahallesi, Atatürk 13. Caddesi, Yayladağı/Hatay</t>
  </si>
  <si>
    <t>0326 471 30 29</t>
  </si>
  <si>
    <t>www.yayladagi.bel.tr</t>
  </si>
  <si>
    <t>Isparta</t>
  </si>
  <si>
    <t>Şükrü BAŞDEĞİRMEN</t>
  </si>
  <si>
    <t>Kutlubey Mahallesi 113 Cadde No:38 Isparta</t>
  </si>
  <si>
    <t>0 (246) 211 60 00</t>
  </si>
  <si>
    <t>info@isparta.bel.tr</t>
  </si>
  <si>
    <t>www.isparta.bel.tr</t>
  </si>
  <si>
    <t>Veli KAHRAMAN</t>
  </si>
  <si>
    <t>Pazarcık, Mehmet Akif Ersoy Cd., 32510 Aksu/Isparta</t>
  </si>
  <si>
    <t>0 (246) 341 20 03</t>
  </si>
  <si>
    <t>aksubelediyesi@gmail.com</t>
  </si>
  <si>
    <t>www.aksubelediyesi.bel.tr</t>
  </si>
  <si>
    <t>Atabey</t>
  </si>
  <si>
    <t>Serdar PEHLİVAN</t>
  </si>
  <si>
    <t>Pazar Mah. Köprülü Cad. No:4 Atabey /ISPARTA</t>
  </si>
  <si>
    <t>0246 271 20 10</t>
  </si>
  <si>
    <t>info@atabey.bel.tr</t>
  </si>
  <si>
    <t>www.atabey.bel.tr</t>
  </si>
  <si>
    <t>Eğirdir</t>
  </si>
  <si>
    <t>Mustafa ÖZER</t>
  </si>
  <si>
    <t>Cami Mahallesi, Kuruçeşme Sokak, Eğirdir Belediyesi Hizmet Binası, 32500 Eğirdir/Isparta</t>
  </si>
  <si>
    <t>0246 311 24 97</t>
  </si>
  <si>
    <t>info@egirdir.bel.tr</t>
  </si>
  <si>
    <t>www.egirdir.bel.tr</t>
  </si>
  <si>
    <t>Gelendost</t>
  </si>
  <si>
    <t>Mustafa ÖZMEN</t>
  </si>
  <si>
    <t>www.gelendost.bel.tr</t>
  </si>
  <si>
    <t>Osman KESMEN</t>
  </si>
  <si>
    <t>Cami, Cumhuriyet Meydanı, 32090 Gönen Merkez/Isparta</t>
  </si>
  <si>
    <t>www.gonen.bel.tr</t>
  </si>
  <si>
    <t>Keçiborlu</t>
  </si>
  <si>
    <t>Yusuf Murat PARLAK</t>
  </si>
  <si>
    <t>Kaya Mahallesi, Atatürk Cad. No:24, 32700 Keçiborlu/Isparta</t>
  </si>
  <si>
    <t>0 (246) 541 41 41</t>
  </si>
  <si>
    <t>info@keciborlu.bel.tr</t>
  </si>
  <si>
    <t>www.keciborlu.bel.tr</t>
  </si>
  <si>
    <t>Senirkent</t>
  </si>
  <si>
    <t>Hüseyin BAYKAL</t>
  </si>
  <si>
    <t>Cumhuriyet Mahallesi Küçük Mehmet Efendi Cad. No:1 Senirkent/Isparta</t>
  </si>
  <si>
    <t>0246 511 40 09</t>
  </si>
  <si>
    <t>belediye@senirkent.bel.tr</t>
  </si>
  <si>
    <t>www.senirkent.bel.tr</t>
  </si>
  <si>
    <t>Sütçüler</t>
  </si>
  <si>
    <t>İsmail YURDABAK</t>
  </si>
  <si>
    <t>Cami Mahallesi Cumhuriyet Meydanı Hükümet Konağı Kat:3 Sütçüler/Isparta</t>
  </si>
  <si>
    <t>(0246) 351 20 15</t>
  </si>
  <si>
    <t>www.sutculer.bel.tr</t>
  </si>
  <si>
    <t>Şarkikaraağaç</t>
  </si>
  <si>
    <t>Ali GÖÇER</t>
  </si>
  <si>
    <t>Şarkıkaraağaç Belediye Binası Şarkıkaraağaç/Isparta</t>
  </si>
  <si>
    <t>0246 411 40 13</t>
  </si>
  <si>
    <t>info@sarkikaraagac.bel.tr</t>
  </si>
  <si>
    <t>www.sarkikaraagac.bel.tr</t>
  </si>
  <si>
    <t>Uluborlu</t>
  </si>
  <si>
    <t>Ahmet Oğuz BAKIR</t>
  </si>
  <si>
    <t>Güreşyeri Mahallesi Gazi Mustafa Kemal Atatürk Bulvarı No:56/A, 32650 Uluborlu/Isparta</t>
  </si>
  <si>
    <t>0 (246) 531 32 60</t>
  </si>
  <si>
    <t>admin@uluborlu.bel.tr</t>
  </si>
  <si>
    <t>www.uluborlu.bel.tr</t>
  </si>
  <si>
    <t>Yalvaç</t>
  </si>
  <si>
    <t>Mustafa KODAL</t>
  </si>
  <si>
    <t>Pazaryukarı Mahallesi Yeşil Çınar Bulvarı No:17 Belediye Sarayı Kat:2, Yalvaç/Isparta</t>
  </si>
  <si>
    <t>0246 441 50 35</t>
  </si>
  <si>
    <t>info@yalvac.bel.tr</t>
  </si>
  <si>
    <t>www.yalvac.bel.tr</t>
  </si>
  <si>
    <t>Yenişarbademli</t>
  </si>
  <si>
    <t>Mehmet ÖZATA</t>
  </si>
  <si>
    <t>Gündoğdu Mahallesi, Cumhuriyet Caddesi No:88, 32850 Yenişarbademli/Isparta</t>
  </si>
  <si>
    <t>0 (246) 431 40 02</t>
  </si>
  <si>
    <t>yenisarbademli.bel@gmail.com</t>
  </si>
  <si>
    <t>www.yenisarbademli.bel.tr</t>
  </si>
  <si>
    <t>Mersin</t>
  </si>
  <si>
    <t>Akdeniz</t>
  </si>
  <si>
    <t>Kayyum - Zeyit Şener (Kaymakam)</t>
  </si>
  <si>
    <t>İhsaniye Mah. 123. Cad. No: 92 33170 Akdeniz / MERSİN</t>
  </si>
  <si>
    <t>(0324) 336 65 83</t>
  </si>
  <si>
    <t>bilgi@akdeniz.bel.tr</t>
  </si>
  <si>
    <t>www.akdeniz.bel.tr</t>
  </si>
  <si>
    <t>Anamur</t>
  </si>
  <si>
    <t>Durmuş Deniz</t>
  </si>
  <si>
    <t>Yeşilyurt Mahallesi 29 Ekim Caddesi No:5/A Anamur / MERSİN</t>
  </si>
  <si>
    <t>(0324) 814 11 15</t>
  </si>
  <si>
    <t>www.anamur.bel.tr</t>
  </si>
  <si>
    <t>Aydıncık</t>
  </si>
  <si>
    <t>Özkan Kılıçarpa</t>
  </si>
  <si>
    <t>Cumhuriyet Mah. Atatürk Cd. No:96 Aydıncık / MERSİN</t>
  </si>
  <si>
    <t>0324 841 3050</t>
  </si>
  <si>
    <t>yaziisleri@mersinaydincik.bel.tr</t>
  </si>
  <si>
    <t>www.mersinaydincik.bel.tr</t>
  </si>
  <si>
    <t>Bozyazı</t>
  </si>
  <si>
    <t>Mustafa Çetinkaya</t>
  </si>
  <si>
    <t>Merkez Mah. Atatürk Blv. Bozyazı / MERSİN</t>
  </si>
  <si>
    <t>0(324) 851-3007</t>
  </si>
  <si>
    <t>info@bozyazi.bel.tr</t>
  </si>
  <si>
    <t>www.bozyazi.bel.tr</t>
  </si>
  <si>
    <t>Çamlıyayla</t>
  </si>
  <si>
    <t>Mehmet Fatih Sofu</t>
  </si>
  <si>
    <t>Cumayakası Mahallesi Tarsus Caddesi No: 6 Çamlıyayla / MERSİN</t>
  </si>
  <si>
    <t>0324 681 30 03</t>
  </si>
  <si>
    <t>bilgi@camliyayla.bel.tr</t>
  </si>
  <si>
    <t>www.camliyayla.bel.tr</t>
  </si>
  <si>
    <t>Erdemli</t>
  </si>
  <si>
    <t>Mustafa Kara</t>
  </si>
  <si>
    <t>Merkez Mahallesi Hal Caddesi No:18 Pk. 33730 Erdemli / MERSİN</t>
  </si>
  <si>
    <t>444 5 609</t>
  </si>
  <si>
    <t>iletisim@erdemli.bel.tr</t>
  </si>
  <si>
    <t>www.erdemli.bel.tr</t>
  </si>
  <si>
    <t>Gülnar</t>
  </si>
  <si>
    <t>Fatih Önge</t>
  </si>
  <si>
    <t>Akdeniz Mah. 33705 Gülnar / MERSİN</t>
  </si>
  <si>
    <t>0324 751 71 10</t>
  </si>
  <si>
    <t>info@gulnar.bel.tr</t>
  </si>
  <si>
    <t>www.gulnar.bel.tr</t>
  </si>
  <si>
    <t>Mezitli</t>
  </si>
  <si>
    <t>Ahmet Serkan Tuncer</t>
  </si>
  <si>
    <t>Atatürk Mah. Sanayi Cad. No:24 Mezitli / MERSİN</t>
  </si>
  <si>
    <t>444 21 99</t>
  </si>
  <si>
    <t>info@mezitli.bel.tr</t>
  </si>
  <si>
    <t>mezitli.bel.tr</t>
  </si>
  <si>
    <t>Mut</t>
  </si>
  <si>
    <t>Murat Orhan</t>
  </si>
  <si>
    <t>Kale Mahallesi Cumhuriyet Meydanı No:1 33600 Mut / MERSİN</t>
  </si>
  <si>
    <t>0324 774 27 27</t>
  </si>
  <si>
    <t>info@mut.bel.tr</t>
  </si>
  <si>
    <t>www.mut.bel.tr</t>
  </si>
  <si>
    <t>Silifke</t>
  </si>
  <si>
    <t>Dr. Mustafa Turgut</t>
  </si>
  <si>
    <t>Saray Mah. İnönü Bulvarı No: 100 Silifke / MERSİN</t>
  </si>
  <si>
    <t>444 6 920</t>
  </si>
  <si>
    <t>silifkebelediyesi@silifke.bel.tr</t>
  </si>
  <si>
    <t>www.silifke.bel.tr</t>
  </si>
  <si>
    <t>Tarsus</t>
  </si>
  <si>
    <t>Ali Boltaç</t>
  </si>
  <si>
    <t>Tozkoparan Zahit Mh. Kasım Gülek Bulvarı Belediye Tesisleri 33400 Tarsus / MERSİN</t>
  </si>
  <si>
    <t>(0324) 616 34 95</t>
  </si>
  <si>
    <t>bilgi@tarsus.bel.tr</t>
  </si>
  <si>
    <t>www.tarsus.bel.tr</t>
  </si>
  <si>
    <t>Toroslar</t>
  </si>
  <si>
    <t>Abdurrahman Yıldız</t>
  </si>
  <si>
    <t>Zeki Ayan Mahallesi Kuvayi Milliye Caddesi No: 251 33220 Toroslar / MERSİN</t>
  </si>
  <si>
    <t>(0324) 322 72 00</t>
  </si>
  <si>
    <t>bilgi@toroslar-bld.gov.tr</t>
  </si>
  <si>
    <t>toroslar-bld.gov.tr</t>
  </si>
  <si>
    <t>Abdullah Özyiğit</t>
  </si>
  <si>
    <t>Limonluk Mahallesi, Vali Hüseyin Aksoy Cd. No:3 33120 Yenişehir / MERSİN</t>
  </si>
  <si>
    <t>(0324) 327 33 00</t>
  </si>
  <si>
    <t>bilgi@yenisehir.bel.tr</t>
  </si>
  <si>
    <t>www.yenisehir.bel.tr</t>
  </si>
  <si>
    <t>İstanbul</t>
  </si>
  <si>
    <t>Adalar</t>
  </si>
  <si>
    <t>Ali Ercan Akpolat</t>
  </si>
  <si>
    <t>Çarkıfelek Cad. No:32 Büyükada / İSTANBUL</t>
  </si>
  <si>
    <t>0216 382 3 382</t>
  </si>
  <si>
    <t>iletisim@adalar.bel.tr</t>
  </si>
  <si>
    <t>adalar.bel.tr</t>
  </si>
  <si>
    <t>Arnavutköy</t>
  </si>
  <si>
    <t>Mustafa Candaroğlu</t>
  </si>
  <si>
    <t>Taşoluk Mah. Kazım Karabekir Cad. No:88 Arnavutköy / İSTANBUL</t>
  </si>
  <si>
    <t>444 4 597</t>
  </si>
  <si>
    <t>arnavutkoy@arnavutkoy.bel.tr</t>
  </si>
  <si>
    <t>www.arnavutkoy.bel.tr</t>
  </si>
  <si>
    <t>Ataşehir</t>
  </si>
  <si>
    <t>Murat Güneş (Başkan V.)</t>
  </si>
  <si>
    <t>Barbaros Mah. Şebboy Sk. No:4 PK:34746 Ataşehir / İSTANBUL</t>
  </si>
  <si>
    <t>0216 570 50 00</t>
  </si>
  <si>
    <t>info@atasehir.bel.tr</t>
  </si>
  <si>
    <t>www.atasehir.bel.tr</t>
  </si>
  <si>
    <t>Avcılar</t>
  </si>
  <si>
    <t>Utku Caner Çaykara</t>
  </si>
  <si>
    <t>Ambarlı Mah. Naim Süleymanoğlu Sok. No:10 Avcılar / İSTANBUL</t>
  </si>
  <si>
    <t>444 6 989</t>
  </si>
  <si>
    <t>halkmasasi@avcilar.bel.tr</t>
  </si>
  <si>
    <t>www.avcilar.bel.tr</t>
  </si>
  <si>
    <t>Bağcılar</t>
  </si>
  <si>
    <t>Yasin Yıldız</t>
  </si>
  <si>
    <t>Güneşli Mahallesi, Mahmutbey Caddesi No: 97, 34200 Bağcılar / İSTANBUL</t>
  </si>
  <si>
    <t>0212 410 06 00</t>
  </si>
  <si>
    <t>www.bagcilar.bel.tr</t>
  </si>
  <si>
    <t>Bahçelievler</t>
  </si>
  <si>
    <t>Dr. Hakan Bahadır</t>
  </si>
  <si>
    <t>Şirinevler Mahallesi, Barbaros Caddesi, No: 9, Bahçelievler / İSTANBUL</t>
  </si>
  <si>
    <t>444 0 311</t>
  </si>
  <si>
    <t>bilgi@bahcelievler.bel.tr</t>
  </si>
  <si>
    <t>www.bahcelievler.bel.tr</t>
  </si>
  <si>
    <t>Bakırköy</t>
  </si>
  <si>
    <t>Ayşegül Özdemir Ovalıoğlu</t>
  </si>
  <si>
    <t>Osmaniye Mah. İsmail Erez Bulvarı No:8 Bakırköy / İSTANBUL</t>
  </si>
  <si>
    <t>0212 414 97 77</t>
  </si>
  <si>
    <t>www.bakirkoy.bel.tr</t>
  </si>
  <si>
    <t>Başakşehir</t>
  </si>
  <si>
    <t>Yasin Kartoğlu</t>
  </si>
  <si>
    <t>Kayabaşı Mah. 15 Temmuz Sok. No:2 Başakşehir / İSTANBUL</t>
  </si>
  <si>
    <t>444 0 669</t>
  </si>
  <si>
    <t>belediye@basaksehir.bel.tr</t>
  </si>
  <si>
    <t>www.basaksehir.bel.tr</t>
  </si>
  <si>
    <t>Bayrampaşa</t>
  </si>
  <si>
    <t>Hasan Mutlu</t>
  </si>
  <si>
    <t>Yenidoğan Mah. Abdi İpekçi Cad. No:2 Bayrampaşa / İSTANBUL</t>
  </si>
  <si>
    <t>0212 467 19 00</t>
  </si>
  <si>
    <t>bayrampasa@bayrampasa.bel.tr</t>
  </si>
  <si>
    <t>www.bayrampasa.bel.tr</t>
  </si>
  <si>
    <t>Beşiktaş</t>
  </si>
  <si>
    <t>Rıza Akpolat</t>
  </si>
  <si>
    <t>Yıldız Mah. Çırağan Cad. No:77 Beşiktaş / İSTANBUL</t>
  </si>
  <si>
    <t>0212 236 10 20</t>
  </si>
  <si>
    <t>baskanatalepler@besiktas.bel.tr</t>
  </si>
  <si>
    <t>besiktas.bel.tr</t>
  </si>
  <si>
    <t>Beykoz</t>
  </si>
  <si>
    <t>Alaattin Köseler</t>
  </si>
  <si>
    <t>Gümüşsuyu Mah. Kelle İbrahim Cad. No:43 PK:34820 Beykoz / İSTANBUL</t>
  </si>
  <si>
    <t>444 6 661</t>
  </si>
  <si>
    <t>beykoz.bel.tr</t>
  </si>
  <si>
    <t>Beylikdüzü</t>
  </si>
  <si>
    <t>Mehmet Murat Çalık</t>
  </si>
  <si>
    <t>Büyükşehir Mah. Enver Adakan Cad. No:2 Beylikdüzü / İSTANBUL</t>
  </si>
  <si>
    <t>444 09 39</t>
  </si>
  <si>
    <t>ozelkalem@beylikduzu.istanbul</t>
  </si>
  <si>
    <t>www.beylikduzu.bel.tr</t>
  </si>
  <si>
    <t>Beyoğlu</t>
  </si>
  <si>
    <t>İnan Güney</t>
  </si>
  <si>
    <t>Şahkulu Mah. Meşrutiyet Cad. No:121 34420 Beyoğlu / İSTANBUL</t>
  </si>
  <si>
    <t>444 0 160</t>
  </si>
  <si>
    <t>iletisim@beyoglu.bel.tr</t>
  </si>
  <si>
    <t>beyoglu.bel.tr</t>
  </si>
  <si>
    <t>Büyükçekmece</t>
  </si>
  <si>
    <t>Dr. Hasan Akgün</t>
  </si>
  <si>
    <t>Fatih Mah. Şehremini Sok. No:1 Büyükçekmece / İSTANBUL</t>
  </si>
  <si>
    <t>444 0 340</t>
  </si>
  <si>
    <t>danisma@bcekmece.bel.tr</t>
  </si>
  <si>
    <t>www.bcekmece.bel.tr</t>
  </si>
  <si>
    <t>Çatalca</t>
  </si>
  <si>
    <t>Erhan Güzel</t>
  </si>
  <si>
    <t>Kaleiçi Vezir Ferhatpaşa Cad. No:50 34540 Çatalca / İSTANBUL</t>
  </si>
  <si>
    <t>444 61 02</t>
  </si>
  <si>
    <t>bilgi@catalca.bel.tr</t>
  </si>
  <si>
    <t>www.catalca.bel.tr</t>
  </si>
  <si>
    <t>Çekmeköy</t>
  </si>
  <si>
    <t>Orhan Çerkez</t>
  </si>
  <si>
    <t>Merkez Mahallesi, Piri Reis Caddesi, No:5, Çekmeköy/İstanbul</t>
  </si>
  <si>
    <t>0216 600 0 600</t>
  </si>
  <si>
    <t>info@cekmekoy.bel.tr</t>
  </si>
  <si>
    <t>www.cekmekoy.bel.tr</t>
  </si>
  <si>
    <t>Esenler</t>
  </si>
  <si>
    <t>M. Tevfik Göksu</t>
  </si>
  <si>
    <t>Birlik Mah. Mehmet Akif İnan Cad. No:6-8 Esenler / İSTANBUL</t>
  </si>
  <si>
    <t>444 00 73</t>
  </si>
  <si>
    <t>esenler.bel.tr</t>
  </si>
  <si>
    <t>Esenyurt</t>
  </si>
  <si>
    <t>Can Aksoy (Başkan V.)</t>
  </si>
  <si>
    <t>Zafer Mah. Doğan Araslı Bulvarı No:79 Esenyurt / İSTANBUL</t>
  </si>
  <si>
    <t>444 0 411</t>
  </si>
  <si>
    <t>www.esenyurt.bel.tr</t>
  </si>
  <si>
    <t>Eyüpsultan</t>
  </si>
  <si>
    <t>Dr. Mithat Bülent Özmen</t>
  </si>
  <si>
    <t>Nişancı Mahallesi, Eyüpsultan Bulvarı, No:72, 34050 Eyüpsultan/İstanbul</t>
  </si>
  <si>
    <t>444 30 00</t>
  </si>
  <si>
    <t>www.eyupsultan.bel.tr</t>
  </si>
  <si>
    <t>Fatih</t>
  </si>
  <si>
    <t>M. Ergün Turan</t>
  </si>
  <si>
    <t>Akşemsettin Mah. Adnan Menderes Vatan Bulvarı No:54 Fatih / İSTANBUL</t>
  </si>
  <si>
    <t>0212 453 1453</t>
  </si>
  <si>
    <t>fabim@fatih.bel.tr</t>
  </si>
  <si>
    <t>www.fatih.bel.tr</t>
  </si>
  <si>
    <t>Gaziosmanpaşa</t>
  </si>
  <si>
    <t>Hakan Bahçetepe</t>
  </si>
  <si>
    <t>Merkez Mah. Cumhuriyet Meydanı No:20 Gaziosmanpaşa / İSTANBUL</t>
  </si>
  <si>
    <t>444 0 467</t>
  </si>
  <si>
    <t>bilgi@gaziosmanpasa.bel.tr</t>
  </si>
  <si>
    <t>www.gaziosmanpasa.bel.tr</t>
  </si>
  <si>
    <t>Güngören</t>
  </si>
  <si>
    <t>Dr. Bünyamin Demir</t>
  </si>
  <si>
    <t>Güven Mah. Marmara Cad. No:38 Güngören / İSTANBUL</t>
  </si>
  <si>
    <t>0212 449 55 00</t>
  </si>
  <si>
    <t>www.gungoren.bel.tr</t>
  </si>
  <si>
    <t>Kadıköy</t>
  </si>
  <si>
    <t>Mesut Kösedağı</t>
  </si>
  <si>
    <t>Hasanpaşa Mah. Fahrettin Kerim Gökay Cad. No:2 Kadıköy / İSTANBUL</t>
  </si>
  <si>
    <t>0216 542 50 00</t>
  </si>
  <si>
    <t>www.kadikoy.bel.tr</t>
  </si>
  <si>
    <t>Kağıthane</t>
  </si>
  <si>
    <t>Mevlüt Öztekin</t>
  </si>
  <si>
    <t>Merkez Mah. Lalezar Sok. No:1 Kağıthane / İSTANBUL 34406</t>
  </si>
  <si>
    <t>444 23 00</t>
  </si>
  <si>
    <t>cagrimerkezi@kagithane.bel.tr</t>
  </si>
  <si>
    <t>www.kagithane.bel.tr</t>
  </si>
  <si>
    <t>Kartal</t>
  </si>
  <si>
    <t>Gökhan Yüksel</t>
  </si>
  <si>
    <t>Yukarı Mah. Belediye Cad. No:6 Kartal / İSTANBUL</t>
  </si>
  <si>
    <t>444 4 578</t>
  </si>
  <si>
    <t>www.kartal.bel.tr</t>
  </si>
  <si>
    <t>Küçükçekmece</t>
  </si>
  <si>
    <t>Kemal Çebi</t>
  </si>
  <si>
    <t>Halkalı Merkez Mah. Halkalı Turgut Özal Bulvarı No:10 34303 Küçükçekmece / İSTANBUL</t>
  </si>
  <si>
    <t>444 4 360</t>
  </si>
  <si>
    <t>kucukcekmece.bel.tr</t>
  </si>
  <si>
    <t>Maltepe</t>
  </si>
  <si>
    <t>Esin Köymen</t>
  </si>
  <si>
    <t>Feyzullah Mah. Bağdat Cad. No:292 Maltepe / İSTANBUL</t>
  </si>
  <si>
    <t>444 17 06</t>
  </si>
  <si>
    <t>www.maltepe.bel.tr</t>
  </si>
  <si>
    <t>Pendik</t>
  </si>
  <si>
    <t>Ahmet Cin</t>
  </si>
  <si>
    <t>444 81 80</t>
  </si>
  <si>
    <t>iletisimmerkezi@pendik.bel.tr</t>
  </si>
  <si>
    <t>www.pendik.bel.tr</t>
  </si>
  <si>
    <t>Sancaktepe</t>
  </si>
  <si>
    <t>Alper Yeğin</t>
  </si>
  <si>
    <t>Abdurrahmangazi Mah. Enderun Cad. No:2 Sancaktepe / İSTANBUL</t>
  </si>
  <si>
    <t>0216 311 11 11</t>
  </si>
  <si>
    <t>bilgi@sancaktepe.bel.tr</t>
  </si>
  <si>
    <t>www.sancaktepe.bel.tr</t>
  </si>
  <si>
    <t>Sarıyer</t>
  </si>
  <si>
    <t>M. Oktay Aksu</t>
  </si>
  <si>
    <t>Pınar Mah. Günyüzü Sok. No:2 34460 Sarıyer / İSTANBUL</t>
  </si>
  <si>
    <t>444 17 22</t>
  </si>
  <si>
    <t>sariyer.bel.tr</t>
  </si>
  <si>
    <t>Şile</t>
  </si>
  <si>
    <t>Özgür Kabadayı</t>
  </si>
  <si>
    <t>Balibey Mahallesi, Atatürk Caddesi No: 71, Şile/İstanbul</t>
  </si>
  <si>
    <t>444 74 53</t>
  </si>
  <si>
    <t>belediye@sile.bel.tr</t>
  </si>
  <si>
    <t>sile.bel.tr</t>
  </si>
  <si>
    <t>Şişli</t>
  </si>
  <si>
    <t>Ali İkram Tuna</t>
  </si>
  <si>
    <t>Merkez Mah. Darülaceze Cad. No:8 Şişli/İstanbul</t>
  </si>
  <si>
    <t>444 3 112</t>
  </si>
  <si>
    <t>cozummerkezi@sisli.bel.tr</t>
  </si>
  <si>
    <t>www.sisli.bel.tr</t>
  </si>
  <si>
    <t>Silivri</t>
  </si>
  <si>
    <t>Bora Balcıoğlu</t>
  </si>
  <si>
    <t>Alibey Mah. Turgut Özal Bulvarı No:3 34570 Silivri / İSTANBUL</t>
  </si>
  <si>
    <t>444 20 47</t>
  </si>
  <si>
    <t>sibim@silivri.bel.tr</t>
  </si>
  <si>
    <t>www.silivri.bel.tr</t>
  </si>
  <si>
    <t>Sultanbeyli</t>
  </si>
  <si>
    <t>Ali Tombaş</t>
  </si>
  <si>
    <t>Abdurrahmangazi Mah. Belediye Cad. No:4 Sultanbeyli / İSTANBUL</t>
  </si>
  <si>
    <t>444 98 92</t>
  </si>
  <si>
    <t>belediye@sultanbeyli.bel.tr</t>
  </si>
  <si>
    <t>www.sultanbeyli.bel.tr</t>
  </si>
  <si>
    <t>Sultangazi</t>
  </si>
  <si>
    <t>Av. Abdurrahman Dursun</t>
  </si>
  <si>
    <t>444 23 32</t>
  </si>
  <si>
    <t>bilgi@sultangazi.bel.tr</t>
  </si>
  <si>
    <t>www.sultangazi.bel.tr</t>
  </si>
  <si>
    <t>Tuzla</t>
  </si>
  <si>
    <t>Eren Ali Bingöl</t>
  </si>
  <si>
    <t>Hatboyu Cad. No:17-2 Tuzla / İSTANBUL</t>
  </si>
  <si>
    <t>444 0 906</t>
  </si>
  <si>
    <t>info@tuzla.bel.tr</t>
  </si>
  <si>
    <t>www.tuzla.bel.tr</t>
  </si>
  <si>
    <t>Ümraniye</t>
  </si>
  <si>
    <t>İsmet Yıldırım</t>
  </si>
  <si>
    <t>Atatürk Mah. Fatih Sultan Mehmet Cad. No:63 PK:34761 Ümraniye / İSTANBUL</t>
  </si>
  <si>
    <t>444 9 822</t>
  </si>
  <si>
    <t>cozummerkezi@umraniye.bel.tr</t>
  </si>
  <si>
    <t>www.umraniye.bel.tr</t>
  </si>
  <si>
    <t>Üsküdar</t>
  </si>
  <si>
    <t>Sinem Dedetaş</t>
  </si>
  <si>
    <t>Mimar Sinan Mah. Çavuşdere Cad. No: 35 Üsküdar/İstanbul</t>
  </si>
  <si>
    <t>444 0 875</t>
  </si>
  <si>
    <t>superhizmet@uskudar.bel.tr</t>
  </si>
  <si>
    <t>www.uskudar.bel.tr</t>
  </si>
  <si>
    <t>Zeytinburnu</t>
  </si>
  <si>
    <t>Ömer Arısoy</t>
  </si>
  <si>
    <t>444 19 84</t>
  </si>
  <si>
    <t>baskan@zeytinburnu.bel.tr</t>
  </si>
  <si>
    <t>zeytinburnu.istanbul</t>
  </si>
  <si>
    <t>İzmir</t>
  </si>
  <si>
    <t>Aliağa</t>
  </si>
  <si>
    <t>Serkan Acar</t>
  </si>
  <si>
    <t>Kültür Mah. Lozan Cad. No:47 Aliağa, İZMİR</t>
  </si>
  <si>
    <t>0232 399 00 00</t>
  </si>
  <si>
    <t>bilgi@aliaga.bel.tr</t>
  </si>
  <si>
    <t>https://www.aliaga.bel.tr</t>
  </si>
  <si>
    <t>Balçova</t>
  </si>
  <si>
    <t>Onur Yiğit</t>
  </si>
  <si>
    <t>Fevzi Çakmak Mah. Cengiz Topel Sk. No:1 35330 Balçova, İZMİR</t>
  </si>
  <si>
    <t>0232 455 20 00</t>
  </si>
  <si>
    <t>info@balcova.bel.tr</t>
  </si>
  <si>
    <t>https://www.balcova.bel.tr</t>
  </si>
  <si>
    <t>Bayındır</t>
  </si>
  <si>
    <t>Davut Sakarsu</t>
  </si>
  <si>
    <t>Mithatpaşa Mah. Atatürk Cad. No:32 35840 Bayındır/İZMİR</t>
  </si>
  <si>
    <t>0 232 581 50 00</t>
  </si>
  <si>
    <t>info@bayindir.bel.tr</t>
  </si>
  <si>
    <t>https://www.bayindir.bel.tr</t>
  </si>
  <si>
    <t>Bayraklı</t>
  </si>
  <si>
    <t>İrfan Önal</t>
  </si>
  <si>
    <t>Anadolu Cad. No:125 Bayraklı / İZMİR</t>
  </si>
  <si>
    <t>0232 477 20 00</t>
  </si>
  <si>
    <t>iletisim@bayrakli.bel.tr</t>
  </si>
  <si>
    <t>https://www.bayrakli.bel.tr</t>
  </si>
  <si>
    <t>Bergama</t>
  </si>
  <si>
    <t>Prof. Dr. Tanju Çelik</t>
  </si>
  <si>
    <t>İslamsaray Mah. Kınık Cad. No:120 Bergama / İZMİR</t>
  </si>
  <si>
    <t>0 232 632 80 05</t>
  </si>
  <si>
    <t>info@bergama.bel.tr</t>
  </si>
  <si>
    <t>https://bergama.bel.tr</t>
  </si>
  <si>
    <t>Beydağ</t>
  </si>
  <si>
    <t>Şakir Başaran</t>
  </si>
  <si>
    <t>Atatürk Mah. Arıtürk Sk No:27 Beydağ, İZMİR</t>
  </si>
  <si>
    <t>0232 592 61 14</t>
  </si>
  <si>
    <t>bilgi@beydag.bel.tr</t>
  </si>
  <si>
    <t>https://www.beydag.bel.tr</t>
  </si>
  <si>
    <t>Bornova</t>
  </si>
  <si>
    <t>Ömer Eşki</t>
  </si>
  <si>
    <t>Kazım Dirik Mah. Fevzi Çakmak Cad. No:38 Bornova / İZMİR</t>
  </si>
  <si>
    <t>(0232) 999 19 19</t>
  </si>
  <si>
    <t>iletisim@bornova.bel.tr</t>
  </si>
  <si>
    <t>https://bornova.bel.tr</t>
  </si>
  <si>
    <t>Buca</t>
  </si>
  <si>
    <t>Görkem Duman</t>
  </si>
  <si>
    <t>Vali Rahmi Bey Mah. Menderes Cad. No:85 Buca/İZMİR</t>
  </si>
  <si>
    <t>0232 439 10 10</t>
  </si>
  <si>
    <t>info@buca.bel.tr</t>
  </si>
  <si>
    <t>https://www.buca.bel.tr</t>
  </si>
  <si>
    <t>Çeşme</t>
  </si>
  <si>
    <t>Lal Denizli</t>
  </si>
  <si>
    <t>İsmet İnönü Mah. 2001 Sok. No:2 Çeşme/İZMİR</t>
  </si>
  <si>
    <t>0232 750 0 750</t>
  </si>
  <si>
    <t>info@cesme.bel.tr</t>
  </si>
  <si>
    <t>https://www.cesme.bel.tr</t>
  </si>
  <si>
    <t>Çiğli</t>
  </si>
  <si>
    <t>Onur Emrah Yıldız</t>
  </si>
  <si>
    <t>Ataşehir Mah. 8001/1. Sokak No:1 Çiğli/İZMİR</t>
  </si>
  <si>
    <t>444 35 52</t>
  </si>
  <si>
    <t>halklailiskiler@cigli.bel.tr</t>
  </si>
  <si>
    <t>https://www.cigli.bel.tr</t>
  </si>
  <si>
    <t>Dikili</t>
  </si>
  <si>
    <t>Adil Kırgöz</t>
  </si>
  <si>
    <t>Cumhuriyet Mah. 313 Sk. No:22 Dikili, İZMİR</t>
  </si>
  <si>
    <t>0 (232) 671 40 20</t>
  </si>
  <si>
    <t>info@izmir-dikili.bel.tr</t>
  </si>
  <si>
    <t>https://www.izmir-dikili.bel.tr</t>
  </si>
  <si>
    <t>Foça</t>
  </si>
  <si>
    <t>Saniye Bora Fıçı</t>
  </si>
  <si>
    <t>Fevzipaşa Mah. 191. Sokak No:3 Foça/İZMİR</t>
  </si>
  <si>
    <t>0232 812 11 27</t>
  </si>
  <si>
    <t>bilgi@foca.bel.tr</t>
  </si>
  <si>
    <t>https://www.foca.bel.tr</t>
  </si>
  <si>
    <t>Gaziemir</t>
  </si>
  <si>
    <t>Ünal Işık</t>
  </si>
  <si>
    <t>Gazi Mah. Önder Cad. No:41 35410 Gaziemir/İZMİR</t>
  </si>
  <si>
    <t>0232 999 0 251</t>
  </si>
  <si>
    <t>info@gaziemir.bel.tr</t>
  </si>
  <si>
    <t>https://www.gaziemir.bel.tr</t>
  </si>
  <si>
    <t>Güzelbahçe</t>
  </si>
  <si>
    <t>Mustafa Günay</t>
  </si>
  <si>
    <t>Atatürk Mah. Kazım Dirik Cad. No:46 35310 Güzelbahçe/İZMİR</t>
  </si>
  <si>
    <t>0 232 234 20 20</t>
  </si>
  <si>
    <t>info@guzelbahce.bel.tr</t>
  </si>
  <si>
    <t>https://www.guzelbahce.bel.tr</t>
  </si>
  <si>
    <t>Karabağlar</t>
  </si>
  <si>
    <t>Helil Kınay</t>
  </si>
  <si>
    <t>Cennetoğlu Mah. Yeşillik Cad. No:232 Karabağlar/İZMİR</t>
  </si>
  <si>
    <t>0232 414 76 00</t>
  </si>
  <si>
    <t>him@karabaglar.bel.tr</t>
  </si>
  <si>
    <t>https://www.karabaglar.bel.tr</t>
  </si>
  <si>
    <t>Karaburun</t>
  </si>
  <si>
    <t>İlkay Girgin Erdoğan</t>
  </si>
  <si>
    <t>Merkez Mah. Başkomutan Atatürk Cad. No:4 Karaburun/İZMİR</t>
  </si>
  <si>
    <t>444 35 56</t>
  </si>
  <si>
    <t>info@karaburun.bel.tr</t>
  </si>
  <si>
    <t>https://www.karaburun.bel.tr</t>
  </si>
  <si>
    <t>Karşıyaka</t>
  </si>
  <si>
    <t>B. Yıldız Ünsal</t>
  </si>
  <si>
    <t>Doç. Dr. Bahriye Üçok Bulvarı No:5 Karşıyaka/İZMİR</t>
  </si>
  <si>
    <t>444 1 575</t>
  </si>
  <si>
    <t>info@karsiyaka.bel.tr</t>
  </si>
  <si>
    <t>https://www.karsiyaka.bel.tr</t>
  </si>
  <si>
    <t>Mehmet Türkmen</t>
  </si>
  <si>
    <t>Mehmet Akif Ersoy Mah. İnönü Cad. No:111 Kemalpaşa/İZMİR</t>
  </si>
  <si>
    <t>444 88 77</t>
  </si>
  <si>
    <t>info@izmir-kemalpasa.bel.tr</t>
  </si>
  <si>
    <t>https://izmir-kemalpasa.bel.tr</t>
  </si>
  <si>
    <t>Kınık</t>
  </si>
  <si>
    <t>Sema Bodur</t>
  </si>
  <si>
    <t>Camicedit Mah. Cumhuriyet Meydanı No:1 Kınık/İZMİR</t>
  </si>
  <si>
    <t>0 (232) 687 10 12</t>
  </si>
  <si>
    <t>info@kinik.bel.tr</t>
  </si>
  <si>
    <t>https://kinik.bel.tr</t>
  </si>
  <si>
    <t>Kiraz</t>
  </si>
  <si>
    <t>Nasuh Coşkun</t>
  </si>
  <si>
    <t>Cumhuriyet Mahallesi, Belediye Caddesi No:1, Kiraz / İzmir</t>
  </si>
  <si>
    <t>(0232) 572 30 20</t>
  </si>
  <si>
    <t>bilgi@kiraz.bel.tr</t>
  </si>
  <si>
    <t>https://www.kiraz.bel.tr</t>
  </si>
  <si>
    <t>Konak</t>
  </si>
  <si>
    <t>Nilüfer Çınarlı Mutlu</t>
  </si>
  <si>
    <t>Dokuz Eylül Meydanı No:11 Basmane, Konak/İZMİR</t>
  </si>
  <si>
    <t>444 35 66</t>
  </si>
  <si>
    <t>https://www.konak.bel.tr</t>
  </si>
  <si>
    <t>Menderes</t>
  </si>
  <si>
    <t>İlkay Çiçek</t>
  </si>
  <si>
    <t>Kasımpaşa Mah. Atatürk Cad. No:1 35470 Menderes/İZMİR</t>
  </si>
  <si>
    <t>0232 700 00 00</t>
  </si>
  <si>
    <t>info@menderes.bel.tr</t>
  </si>
  <si>
    <t>https://menderes.bel.tr</t>
  </si>
  <si>
    <t>Menemen</t>
  </si>
  <si>
    <t>Aydın Pehlivan</t>
  </si>
  <si>
    <t>Camiikebir Mah. Şehit Kemal Cad. No:1 Menemen/İZMİR</t>
  </si>
  <si>
    <t>444 80 08</t>
  </si>
  <si>
    <t>belediyeiletisim@menemen.bel.tr</t>
  </si>
  <si>
    <t>https://www.menemen.bel.tr</t>
  </si>
  <si>
    <t>Narlıdere</t>
  </si>
  <si>
    <t>Erman Uzun</t>
  </si>
  <si>
    <t>Mithatpaşa Cad. No:447 Narlıdere/İZMİR</t>
  </si>
  <si>
    <t>0232 238 30 01</t>
  </si>
  <si>
    <t>info@narlidere-bld.gov.tr</t>
  </si>
  <si>
    <t>https://www.narlidere-bld.gov.tr</t>
  </si>
  <si>
    <t>Ödemiş</t>
  </si>
  <si>
    <t>Mustafa Turan</t>
  </si>
  <si>
    <t>Cumhuriyet Mah. Atatürk Cad. No:14 Ödemiş/İZMİR</t>
  </si>
  <si>
    <t>444 33 95</t>
  </si>
  <si>
    <t>bilgi@odemis.bel.tr</t>
  </si>
  <si>
    <t>https://www.odemis.bel.tr</t>
  </si>
  <si>
    <t>Seferihisar</t>
  </si>
  <si>
    <t>İsmail Yetişkin</t>
  </si>
  <si>
    <t>Camikebir Mah. 52/1 Sk. No:1 Yeni Kültür Merkezi PK:35460 Seferihisar/İZMİR</t>
  </si>
  <si>
    <t>0232 743 39 60</t>
  </si>
  <si>
    <t>ozelkalem@seferihisar.bel.tr</t>
  </si>
  <si>
    <t>https://seferihisar.bel.tr</t>
  </si>
  <si>
    <t>Selçuk</t>
  </si>
  <si>
    <t>Filiz Ceritoğlu Sengel</t>
  </si>
  <si>
    <t>Atatürk Mah. Atatürk Cad. No:111 Selçuk/İZMİR 35920</t>
  </si>
  <si>
    <t>444 8 892</t>
  </si>
  <si>
    <t>info@selcuk.bel.tr</t>
  </si>
  <si>
    <t>https://www.selcuk.bel.tr</t>
  </si>
  <si>
    <t>Tire</t>
  </si>
  <si>
    <t>Hayati Okuroğlu</t>
  </si>
  <si>
    <t>Cumhuriyet Mah. 29 Ekim Cad. No:19 Tire/İZMİR</t>
  </si>
  <si>
    <t>444 35 03</t>
  </si>
  <si>
    <t>tirebel@tire.bel.tr</t>
  </si>
  <si>
    <t>https://tire.bel.tr</t>
  </si>
  <si>
    <t>Torbalı</t>
  </si>
  <si>
    <t>Övünç Demir</t>
  </si>
  <si>
    <t>Muratbey Mahallesi, 3564 Sokak, No: 25, 35860 Torbalı / İZMİR</t>
  </si>
  <si>
    <t>0232 856 66 66</t>
  </si>
  <si>
    <t>torbali@torbali.bel.tr</t>
  </si>
  <si>
    <t>https://www.torbali.bel.tr</t>
  </si>
  <si>
    <t>Urla</t>
  </si>
  <si>
    <t>Sibel Uyar</t>
  </si>
  <si>
    <t>Hacıisa Mah. Bülent Baratalı Cad. Cumhuriyet Meydanı No:3 Urla/İZMİR 35430</t>
  </si>
  <si>
    <t>0232 754 10 88</t>
  </si>
  <si>
    <t>info@urla.bel.tr</t>
  </si>
  <si>
    <t>https://www.urla.bel.tr</t>
  </si>
  <si>
    <t>Kars</t>
  </si>
  <si>
    <t>Prof. Dr. Ötüken Senger</t>
  </si>
  <si>
    <t>Yusufpaşa Mah., Selahattin Filtekin Cad. No:13, 36100 Merkez/Kars</t>
  </si>
  <si>
    <t>0 474 223 21 50 (Çözüm Merkezi: 444 71 13)</t>
  </si>
  <si>
    <t>kars@kars.bel.tr</t>
  </si>
  <si>
    <t>www.kars.bel.tr</t>
  </si>
  <si>
    <t>Akyaka</t>
  </si>
  <si>
    <t>Ergüder Toptaş</t>
  </si>
  <si>
    <t>İstasyon Mah. Latif Aküzüm Cad. No:27, Akyaka/Kars</t>
  </si>
  <si>
    <t>0474 261 21 78</t>
  </si>
  <si>
    <t>iletisim@karsakyaka.bel.tr</t>
  </si>
  <si>
    <t>www.karsakyaka.bel.tr</t>
  </si>
  <si>
    <t>Arpaçay</t>
  </si>
  <si>
    <t>Zeki Elma</t>
  </si>
  <si>
    <t>Orta Mah. Cumhuriyet Cad. No:67, 36730 Arpaçay/Kars</t>
  </si>
  <si>
    <t>0 474 281 20 18</t>
  </si>
  <si>
    <t>arpacaybld@hotmail.com</t>
  </si>
  <si>
    <t>www.arpacay.bel.tr</t>
  </si>
  <si>
    <t>Digor</t>
  </si>
  <si>
    <t>Adem Oyman</t>
  </si>
  <si>
    <t>www.digor.bel.tr</t>
  </si>
  <si>
    <t>Kağızman</t>
  </si>
  <si>
    <t>Okan Daştan (Belediye Başkan Vekili)</t>
  </si>
  <si>
    <t>Şahindere Mahallesi, İstiklal Alanı No:2, Kağızman/Kars</t>
  </si>
  <si>
    <t>0 474 351 60 12</t>
  </si>
  <si>
    <t>www.kagizman.bel.tr</t>
  </si>
  <si>
    <t>Sarıkamış</t>
  </si>
  <si>
    <t>Serdar Kılıç</t>
  </si>
  <si>
    <t>Gaziler Meydanı, Belediye Sarayı Kat:5, Sarıkamış/Kars</t>
  </si>
  <si>
    <t>bilgi@sarikamis.bel.tr</t>
  </si>
  <si>
    <t>www.sarikamis.bel.tr</t>
  </si>
  <si>
    <t>Selim</t>
  </si>
  <si>
    <t>İlyas Barış Koç</t>
  </si>
  <si>
    <t>Çarşı Mah. Kazım Paşa Cad. No:170, Selim/Kars</t>
  </si>
  <si>
    <t>0474 461 20 09</t>
  </si>
  <si>
    <t>bilgi@selim.bel.tr</t>
  </si>
  <si>
    <t>www.selim.bel.tr</t>
  </si>
  <si>
    <t>Susuz</t>
  </si>
  <si>
    <t>Oğuz Yantemur</t>
  </si>
  <si>
    <t>İnkılap Mah. Kazım Karabekir Cad. No:2, 36760 Susuz/Kars</t>
  </si>
  <si>
    <t>0 474 511 50 06</t>
  </si>
  <si>
    <t>www.karssusuz.bel.tr</t>
  </si>
  <si>
    <t>Kastamonu</t>
  </si>
  <si>
    <t>Hasan Baltacı</t>
  </si>
  <si>
    <t>Aktekke Mahallesi Barbaros Caddesi No:5, Kastamonu</t>
  </si>
  <si>
    <t>0 (366) 153 00 00</t>
  </si>
  <si>
    <t>yuvamiz@kastamonu.bel.tr</t>
  </si>
  <si>
    <t>https://www.kastamonu.bel.tr/</t>
  </si>
  <si>
    <t>Abana</t>
  </si>
  <si>
    <t>Seda Oyar</t>
  </si>
  <si>
    <t>Merkez Mahallesi, Atatürk Bulvarı No:1, 37960 Abana/Kastamonu</t>
  </si>
  <si>
    <t>info@abana.bel.tr</t>
  </si>
  <si>
    <t>https://abana.bel.tr/</t>
  </si>
  <si>
    <t>Ağlı</t>
  </si>
  <si>
    <t>Bülent Ergin</t>
  </si>
  <si>
    <t>Merkez Mahallesi Gençlik Meydanı No:1, Kastamonu/Ağlı</t>
  </si>
  <si>
    <t>0 (366) 737 10 01</t>
  </si>
  <si>
    <t>info@agli.bel.tr</t>
  </si>
  <si>
    <t>https://www.agli.bel.tr/</t>
  </si>
  <si>
    <t>Araç</t>
  </si>
  <si>
    <t>Süleyman Yazkan</t>
  </si>
  <si>
    <t>Yeni Mahallesi Kastamonu Caddesi No:121/1, Araç/Kastamonu</t>
  </si>
  <si>
    <t>0 (366) 362 10 12</t>
  </si>
  <si>
    <t>bilgi@arac.bel.tr</t>
  </si>
  <si>
    <t>https://www.arac.bel.tr/</t>
  </si>
  <si>
    <t>Azdavay</t>
  </si>
  <si>
    <t>Cevat Taşkan</t>
  </si>
  <si>
    <t>Merkez Mahallesi Hükümet Caddesi No:2, Azdavay/Kastamonu</t>
  </si>
  <si>
    <t>0 (366) 717 10 06</t>
  </si>
  <si>
    <t>yaziisleri@azdavay.bel.tr</t>
  </si>
  <si>
    <t>https://www.azdavay.bel.tr/</t>
  </si>
  <si>
    <t>Muammer Yanık</t>
  </si>
  <si>
    <t>Merkez Mahallesi Sınarcık Caddesi No:1, 37660 Bozkurt/Kastamonu</t>
  </si>
  <si>
    <t>https://www.bozkurt.bel.tr/</t>
  </si>
  <si>
    <t>Cide</t>
  </si>
  <si>
    <t>Nejdet Demir</t>
  </si>
  <si>
    <t>Kasaba Mahallesi Cumhuriyet Meydanı No:18, Cide/Kastamonu</t>
  </si>
  <si>
    <t>0 (366) 866 10 04</t>
  </si>
  <si>
    <t>info@cide.bel.tr</t>
  </si>
  <si>
    <t>https://www.cide.bel.tr/</t>
  </si>
  <si>
    <t>Çatalzeytin</t>
  </si>
  <si>
    <t>Ahmet Demir</t>
  </si>
  <si>
    <t>Merkez Mahallesi İstikbal Caddesi No:3, Çatalzeytin/Kastamonu</t>
  </si>
  <si>
    <t>0 366 516 10 17</t>
  </si>
  <si>
    <t>info@catalzeytin.bel.tr</t>
  </si>
  <si>
    <t>https://www.catalzeytin.bel.tr/</t>
  </si>
  <si>
    <t>Daday</t>
  </si>
  <si>
    <t>Selahattin Yanık</t>
  </si>
  <si>
    <t>Belediye İş Hanı Kat:2, Daday/Kastamonu</t>
  </si>
  <si>
    <t>0 (366) 616 10 05</t>
  </si>
  <si>
    <t>info@daday.bel.tr</t>
  </si>
  <si>
    <t>https://www.daday.bel.tr/</t>
  </si>
  <si>
    <t>Devrekani</t>
  </si>
  <si>
    <t>Engin Altıkulaç</t>
  </si>
  <si>
    <t>Kurtşeyh Mahallesi Meydan Caddesi No:2, Devrekani/Kastamonu</t>
  </si>
  <si>
    <t>info@devrekani.bel.tr</t>
  </si>
  <si>
    <t>https://www.devrekani.bel.tr/</t>
  </si>
  <si>
    <t>Doğanyurt</t>
  </si>
  <si>
    <t>Ahmet Kaya</t>
  </si>
  <si>
    <t>Merkez Mahallesi Atatürk Caddesi No:19, Doğanyurt/Kastamonu</t>
  </si>
  <si>
    <t>0 366 843 12 60</t>
  </si>
  <si>
    <t>bilgi@doganyurt.bel.tr</t>
  </si>
  <si>
    <t>http://www.doganyurt.bel.tr/</t>
  </si>
  <si>
    <t>Hanönü</t>
  </si>
  <si>
    <t>Metin Yamalı</t>
  </si>
  <si>
    <t>Hanönü Mahallesi Boyabat Caddesi No:11, Hanönü/Kastamonu</t>
  </si>
  <si>
    <t>0 (366) 497 51 95</t>
  </si>
  <si>
    <t>bilgi@hanonu.bel.tr</t>
  </si>
  <si>
    <t>https://www.hanonu.bel.tr/</t>
  </si>
  <si>
    <t>İhsangazi</t>
  </si>
  <si>
    <t>Hayati Sağlık</t>
  </si>
  <si>
    <t>Yeni Mahalle, Belediye Caddesi, Belediye Hizmet Binası, 37250 İhsangazi/Kastamonu</t>
  </si>
  <si>
    <t>bilgi@ihsangazi.bel.tr</t>
  </si>
  <si>
    <t>https://www.ihsangazi.bel.tr/</t>
  </si>
  <si>
    <t>İnebolu</t>
  </si>
  <si>
    <t>Engin Uzuner</t>
  </si>
  <si>
    <t>Camikebir Mahallesi Gümrük Sokak No:5, 37500 İnebolu/Kastamonu</t>
  </si>
  <si>
    <t>info@inebolu.bel.tr</t>
  </si>
  <si>
    <t>https://www.inebolu.bel.tr/</t>
  </si>
  <si>
    <t>Küre</t>
  </si>
  <si>
    <t>Salih Turan</t>
  </si>
  <si>
    <t>Camievsat Mahallesi Atatürk Caddesi No:38, Küre/Kastamonu</t>
  </si>
  <si>
    <t>0 (366) 751 21 09</t>
  </si>
  <si>
    <t>bilgi@kure.bel.tr</t>
  </si>
  <si>
    <t>https://kure.bel.tr/</t>
  </si>
  <si>
    <t>Pınarbaşı</t>
  </si>
  <si>
    <t>Serkan Arı</t>
  </si>
  <si>
    <t>Cumhuriyet Mahallesi Kurtuluş Caddesi No:10, Pınarbaşı/Kastamonu</t>
  </si>
  <si>
    <t>0 366 771 22 42</t>
  </si>
  <si>
    <t>https://www.pinarbasibelediyesi.bel.tr/</t>
  </si>
  <si>
    <t>Seydiler</t>
  </si>
  <si>
    <t>Mehmet Erdoğan</t>
  </si>
  <si>
    <t>Merkez Mahallesi Şehit Şerife Bacı Caddesi, Seydiler/Kastamonu</t>
  </si>
  <si>
    <t>0 366 668 40 13</t>
  </si>
  <si>
    <t>seydilerbelediyesi@gmail.com</t>
  </si>
  <si>
    <t>https://www.seydiler.bel.tr/</t>
  </si>
  <si>
    <t>Şenpazar</t>
  </si>
  <si>
    <t>Cem Çınar</t>
  </si>
  <si>
    <t>Merkez Mahallesi Cumhuriyet Caddesi, Şenpazar/Kastamonu</t>
  </si>
  <si>
    <t>0 (366) 788 10 01</t>
  </si>
  <si>
    <t>bilgi@senpazar.bel.tr</t>
  </si>
  <si>
    <t>https://www.senpazar.bel.tr/</t>
  </si>
  <si>
    <t>Taşköprü</t>
  </si>
  <si>
    <t>Hüseyin Arslan</t>
  </si>
  <si>
    <t>Harmancık Mahallesi Muzafferettin Gazi Caddesi No:2, Taşköprü/Kastamonu</t>
  </si>
  <si>
    <t>0 366 417 10 58</t>
  </si>
  <si>
    <t>info@taskopru.bel.tr</t>
  </si>
  <si>
    <t>https://taskopru.bel.tr/v1/</t>
  </si>
  <si>
    <t>Tosya</t>
  </si>
  <si>
    <t>Volkan Kavaklıgil</t>
  </si>
  <si>
    <t>Cumhuriyet Meydanı No:18, 37300 Tosya/Kastamonu</t>
  </si>
  <si>
    <t>0 366 313 10 09</t>
  </si>
  <si>
    <t>https://tosya.bel.tr/</t>
  </si>
  <si>
    <t>Sinop</t>
  </si>
  <si>
    <t>Metin Gürbüz</t>
  </si>
  <si>
    <t>Bostancılı Mah. Belediye Sok. No:2A, Sinop Merkez</t>
  </si>
  <si>
    <t>0 368 261 18 44</t>
  </si>
  <si>
    <t>halklailiskiler@sinop.bel.tr</t>
  </si>
  <si>
    <t>www.sinop.bel.tr</t>
  </si>
  <si>
    <t>Ayancık</t>
  </si>
  <si>
    <t>Hayrettin Kaya</t>
  </si>
  <si>
    <t>Yalı Mah. 15 Temmuz Şehitler Cad. No: 1, Ayancık/Sinop</t>
  </si>
  <si>
    <t>0 368 613 10 73</t>
  </si>
  <si>
    <t>www.ayancik.bel.tr</t>
  </si>
  <si>
    <t>Boyabat</t>
  </si>
  <si>
    <t>Hasan Kara</t>
  </si>
  <si>
    <t>www.boyabat.bel.tr</t>
  </si>
  <si>
    <t>Dikmen</t>
  </si>
  <si>
    <t>Adnan Acar</t>
  </si>
  <si>
    <t>Kırçal Mahallesi, İtfaiye Caddesi, No:1, Dikmen/Sinop</t>
  </si>
  <si>
    <t>0 368 771 21 78</t>
  </si>
  <si>
    <t>www.dikmen.bel.tr</t>
  </si>
  <si>
    <t>Durağan</t>
  </si>
  <si>
    <t>Necmettin Ermiş</t>
  </si>
  <si>
    <t>Merkez Mahallesi, Cumhuriyet Caddesi No:117, Durağan/Sinop</t>
  </si>
  <si>
    <t>0 368 416 10 09</t>
  </si>
  <si>
    <t>www.duragan.bel.tr</t>
  </si>
  <si>
    <t>Erfelek</t>
  </si>
  <si>
    <t>Mehmet Uzun</t>
  </si>
  <si>
    <t>Erfelek Belediye Başkanlığı, Erfelek/Sinop</t>
  </si>
  <si>
    <t>0 368 511 22 50</t>
  </si>
  <si>
    <t>www.erfelek.bel.tr</t>
  </si>
  <si>
    <t>Gerze</t>
  </si>
  <si>
    <t>Osman Belovacıklı</t>
  </si>
  <si>
    <t>Köşk Mahallesi, Belediye Caddesi, No: 4, Gerze/Sinop</t>
  </si>
  <si>
    <t>0 368 718 15 47</t>
  </si>
  <si>
    <t>www.gerze.bel.tr</t>
  </si>
  <si>
    <t>Saraydüzü</t>
  </si>
  <si>
    <t>Ferdi Canoğlu</t>
  </si>
  <si>
    <t>Merkez Mahallesi Mebus Hilmi Biçer Cad. No:81, Saraydüzü/Sinop</t>
  </si>
  <si>
    <t>0 368 485 81 55</t>
  </si>
  <si>
    <t>info@sarayduzu.bel.tr</t>
  </si>
  <si>
    <t>www.sarayduzu.bel.tr</t>
  </si>
  <si>
    <t>Türkeli</t>
  </si>
  <si>
    <t>Veysel Şahin</t>
  </si>
  <si>
    <t>Güzelyurt Mah. Cami Sok. No:7, Türkeli/Sinop</t>
  </si>
  <si>
    <t>0 368 671 36 03</t>
  </si>
  <si>
    <t>basinyayinturkeli@gmail.com</t>
  </si>
  <si>
    <t>turkeli.bel.tr</t>
  </si>
  <si>
    <t>Kayseri</t>
  </si>
  <si>
    <t>Özvatan</t>
  </si>
  <si>
    <t>Halit Demir</t>
  </si>
  <si>
    <t>Kale Mah. Cumhuriyet Meydanı No:1 Özvatan/KAYSERİ</t>
  </si>
  <si>
    <t>0352 781 20 64</t>
  </si>
  <si>
    <t>https://ozvatan.bel.tr</t>
  </si>
  <si>
    <t>Deniz Yağan</t>
  </si>
  <si>
    <t>Yenicami Mah. Kayseri-Malatya Yolu 38700 Pınarbaşı/KAYSERİ</t>
  </si>
  <si>
    <t>0(352) 512 10 35</t>
  </si>
  <si>
    <t>makam@pinarbasi38.bel.tr</t>
  </si>
  <si>
    <t>https://www.pinarbasi38.bel.tr</t>
  </si>
  <si>
    <t>Sarıoğlan</t>
  </si>
  <si>
    <t>Bekir Ayyıldırım</t>
  </si>
  <si>
    <t>Şenyurt Mah. Mehmet Özhaseki Cad. No:8 38820 Sarıoğlan/KAYSERİ</t>
  </si>
  <si>
    <t>(0352) 811 20 14</t>
  </si>
  <si>
    <t>info@sarioglan.bel.tr</t>
  </si>
  <si>
    <t>https://www.sarioglan.bel.tr</t>
  </si>
  <si>
    <t>Sarız</t>
  </si>
  <si>
    <t>Ömer Faruk Eroğlu</t>
  </si>
  <si>
    <t>Bahçeli Mah. Karayolu Cad. 38660 Sarız/KAYSERİ</t>
  </si>
  <si>
    <t>https://www.sariz.bel.tr</t>
  </si>
  <si>
    <t>Tomarza</t>
  </si>
  <si>
    <t>Osman Koç</t>
  </si>
  <si>
    <t>Cumhuriyet Mah. Gölbaşı Sk. 38900 Tomarza/KAYSERİ</t>
  </si>
  <si>
    <t>tomarza@tomarza.bel.tr</t>
  </si>
  <si>
    <t>https://www.tomarza.bel.tr</t>
  </si>
  <si>
    <t>Yahyalı</t>
  </si>
  <si>
    <t>Esat Öztürk</t>
  </si>
  <si>
    <t>Seydili Mah. Kayseri Cad. Belediye Hizmet Binası Yahyalı/KAYSERİ</t>
  </si>
  <si>
    <t>0 352 611 30 07</t>
  </si>
  <si>
    <t>basin@yahyali.bel.tr</t>
  </si>
  <si>
    <t>https://www.yahyali.bel.tr</t>
  </si>
  <si>
    <t>Yeşilhisar</t>
  </si>
  <si>
    <t>Halit Taşyapan</t>
  </si>
  <si>
    <t>Köşk Mah. Atatürk Cad. PK:38800 Yeşilhisar/KAYSERİ</t>
  </si>
  <si>
    <t>0352 651 30 15</t>
  </si>
  <si>
    <t>iletisim@yesilhisar.bel.tr</t>
  </si>
  <si>
    <t>https://www.yesilhisar.bel.tr</t>
  </si>
  <si>
    <t>Kırklareli</t>
  </si>
  <si>
    <t>Merkez (Kırklareli)</t>
  </si>
  <si>
    <t>Derya Bulut</t>
  </si>
  <si>
    <t>Karacaibrahim Mah. Mustafa Kemal Bulvarı No:1, Kırklareli</t>
  </si>
  <si>
    <t>0288 214 10 45</t>
  </si>
  <si>
    <t>kirklareli@kirklareli.bel.tr</t>
  </si>
  <si>
    <t>www.kirklareli.bel.tr</t>
  </si>
  <si>
    <t>Babaeski</t>
  </si>
  <si>
    <t>Dr. Fırat Yayla</t>
  </si>
  <si>
    <t>Hacı Hasan Mah. Fatih Cad. No:34, Babaeski / Kırklareli</t>
  </si>
  <si>
    <t>0288 512 12 36</t>
  </si>
  <si>
    <t>info@babaeski.bel.tr</t>
  </si>
  <si>
    <t>www.babaeski.bel.tr</t>
  </si>
  <si>
    <t>Demirköy</t>
  </si>
  <si>
    <t>Recep Gün</t>
  </si>
  <si>
    <t>Hamdibey Mah. İğneada Cad. No:19, 39500 Demirköy / Kırklareli</t>
  </si>
  <si>
    <t>0288 681 66 07</t>
  </si>
  <si>
    <t>belediye@demirkoy.bel.tr</t>
  </si>
  <si>
    <t>www.demirkoy.bel.tr</t>
  </si>
  <si>
    <t>Kofçaz</t>
  </si>
  <si>
    <t>Levent Şenol</t>
  </si>
  <si>
    <t>39700 Kofçaz / Kırklareli</t>
  </si>
  <si>
    <t>0288 762 21 00</t>
  </si>
  <si>
    <t>belediye@kofcaz.bel.tr</t>
  </si>
  <si>
    <t>www.kofcaz.bel.tr</t>
  </si>
  <si>
    <t>Lüleburgaz</t>
  </si>
  <si>
    <t>Dr. Murat Gerenli</t>
  </si>
  <si>
    <t>İstiklal Mah. Özgürlük Cad. No:115, 39750 Lüleburgaz / Kırklareli</t>
  </si>
  <si>
    <t>0288 417 10 12</t>
  </si>
  <si>
    <t>info@luleburgaz.bel.tr</t>
  </si>
  <si>
    <t>www.luleburgaz.bel.tr</t>
  </si>
  <si>
    <t>Pehlivanköy</t>
  </si>
  <si>
    <t>Gündüz Hoşgör</t>
  </si>
  <si>
    <t>Kazımdirik Mah. Zübeyde Hanım Mey. No:11, 39600 Pehlivanköy / Kırklareli</t>
  </si>
  <si>
    <t>0288 714 11 40</t>
  </si>
  <si>
    <t>info@pehlivankoy.bel.tr</t>
  </si>
  <si>
    <t>www.pehlivankoy.bel.tr</t>
  </si>
  <si>
    <t>Pınarhisar</t>
  </si>
  <si>
    <t>İhsan Talay</t>
  </si>
  <si>
    <t>Camiikebir Mah. Erol Olgaçlı Cad. No:24, 39300 Pınarhisar / Kırklareli</t>
  </si>
  <si>
    <t>0288 615 10 27</t>
  </si>
  <si>
    <t>belediye@pinarhisar.bel.tr</t>
  </si>
  <si>
    <t>www.pinarhisar.bel.tr</t>
  </si>
  <si>
    <t>Vize</t>
  </si>
  <si>
    <t>Ercan Özalp</t>
  </si>
  <si>
    <t>Devlet Mah. Atatürk Cad. No:64, 39400 Vize / Kırklareli</t>
  </si>
  <si>
    <t>0288 318 10 21</t>
  </si>
  <si>
    <t>belediye@vize.bel.tr</t>
  </si>
  <si>
    <t>www.vize.bel.tr</t>
  </si>
  <si>
    <t>Kırşehir</t>
  </si>
  <si>
    <t>Selahattin Ekicioğlu</t>
  </si>
  <si>
    <t>Ahievran Mahallesi Prof. Dr. Mehmet Ali Altın Blv. No:2, 40100 Kırşehir Merkez/Kırşehir</t>
  </si>
  <si>
    <t>0386 213 10 23</t>
  </si>
  <si>
    <t>bilgi@kirsehir.bel.tr</t>
  </si>
  <si>
    <t>www.kirsehir.bel.tr</t>
  </si>
  <si>
    <t>Akçakent</t>
  </si>
  <si>
    <t>Akpınar</t>
  </si>
  <si>
    <t>Şükrü Turgut</t>
  </si>
  <si>
    <t>www.kirsehirakpinar.bel.tr</t>
  </si>
  <si>
    <t>Boztepe</t>
  </si>
  <si>
    <t>Hüseyin Takan</t>
  </si>
  <si>
    <t>www.boztepe.bel.tr</t>
  </si>
  <si>
    <t>Çiçekdağı</t>
  </si>
  <si>
    <t>Hasan Hakanoğlu</t>
  </si>
  <si>
    <t>www.cicekdagi.bel.tr</t>
  </si>
  <si>
    <t>Kaman</t>
  </si>
  <si>
    <t>Emre Demirci</t>
  </si>
  <si>
    <t>Cumhuriyet Meydanı Atatürk Caddesi, Kaman/Kırşehir</t>
  </si>
  <si>
    <t>0386 712 25 10</t>
  </si>
  <si>
    <t>bilgi@kaman.bel.tr</t>
  </si>
  <si>
    <t>www.kaman.bel.tr</t>
  </si>
  <si>
    <t>Mucur</t>
  </si>
  <si>
    <t>Ali Şahin</t>
  </si>
  <si>
    <t>0386 812 40 07</t>
  </si>
  <si>
    <t>mucur@mucur.bel.tr</t>
  </si>
  <si>
    <t>www.mucur.bel.tr</t>
  </si>
  <si>
    <t>Kocaeli</t>
  </si>
  <si>
    <t>Başiskele</t>
  </si>
  <si>
    <t>Mehmet Yasin Özlü</t>
  </si>
  <si>
    <t>Serdar Mahallesi Selahattin Eyyubi Caddesi No:1 41190 Başiskele/Kocaeli</t>
  </si>
  <si>
    <t>444 41 10</t>
  </si>
  <si>
    <t>cozum@basiskele.bel.tr</t>
  </si>
  <si>
    <t>www.basiskele.bel.tr</t>
  </si>
  <si>
    <t>Çayırova</t>
  </si>
  <si>
    <t>Bünyamin Çiftçi</t>
  </si>
  <si>
    <t>Özgürlük Mh. Mehmet Akif Ersoy Cd. No:108 41420 Çayırova/Kocaeli</t>
  </si>
  <si>
    <t>0 (262) 743 79 09</t>
  </si>
  <si>
    <t>iletisim@cayirova.bel.tr</t>
  </si>
  <si>
    <t>www.cayirova.bel.tr</t>
  </si>
  <si>
    <t>Darıca</t>
  </si>
  <si>
    <t>Muzaffer Bıyık</t>
  </si>
  <si>
    <t>Bağlarbaşı Mahallesi İstasyon Caddesi No:176 Darıca/Kocaeli</t>
  </si>
  <si>
    <t>444 7 441</t>
  </si>
  <si>
    <t>basin@darica.bel.tr</t>
  </si>
  <si>
    <t>www.darica.bel.tr</t>
  </si>
  <si>
    <t>Derince</t>
  </si>
  <si>
    <t>Av. Sertif Gökçe</t>
  </si>
  <si>
    <t>Çenedağ Mah. Denizciler Cad. No:81 Derince/Kocaeli</t>
  </si>
  <si>
    <t>0850 400 41 41</t>
  </si>
  <si>
    <t>basin@derince.bel.tr</t>
  </si>
  <si>
    <t>www.derince.bel.tr</t>
  </si>
  <si>
    <t>Dilovası</t>
  </si>
  <si>
    <t>Ramazan Ömeroğlu</t>
  </si>
  <si>
    <t>Cumhuriyet Mah. Bağdat Cad. No:94 Dilovası/Kocaeli</t>
  </si>
  <si>
    <t>0262 754 88 88</t>
  </si>
  <si>
    <t>iletisim@dilovasi.bel.tr</t>
  </si>
  <si>
    <t>www.dilovasi.bel.tr</t>
  </si>
  <si>
    <t>Gebze</t>
  </si>
  <si>
    <t>Zinnur Büyükgöz</t>
  </si>
  <si>
    <t>Güzeller Mahallesi Bahar Cad. N:1 41400 Gebze/Kocaeli</t>
  </si>
  <si>
    <t>gebze@gebze.bel.tr</t>
  </si>
  <si>
    <t>www.gebze.bel.tr</t>
  </si>
  <si>
    <t>Gölcük</t>
  </si>
  <si>
    <t>Ali Yıldırım Sezer</t>
  </si>
  <si>
    <t>41650 Gölcük/Kocaeli</t>
  </si>
  <si>
    <t>0 262 414 45 85</t>
  </si>
  <si>
    <t>bilgi@golcuk.bel.tr</t>
  </si>
  <si>
    <t>www.golcuk.bel.tr</t>
  </si>
  <si>
    <t>İzmit</t>
  </si>
  <si>
    <t>Av. Fatma Kaplan Hürriyet</t>
  </si>
  <si>
    <t>Ömerağa Mah. Abdurrahman Yüksel Cad. No:9 Belsa Plaza A Blok İzmit/Kocaeli</t>
  </si>
  <si>
    <t>444 41 00 / 0262 318 00 00</t>
  </si>
  <si>
    <t>www.izmit.bel.tr</t>
  </si>
  <si>
    <t>Kandıra</t>
  </si>
  <si>
    <t>Erol Ölmez</t>
  </si>
  <si>
    <t>Akdurak Mahallesi Cumhuriyet Caddesi No:9 Kandıra/Kocaeli</t>
  </si>
  <si>
    <t>0262 551 32 10</t>
  </si>
  <si>
    <t>bilgi@kandira.bel.tr</t>
  </si>
  <si>
    <t>www.kandira.bel.tr</t>
  </si>
  <si>
    <t>Karamürsel</t>
  </si>
  <si>
    <t>Ahmet Çalık</t>
  </si>
  <si>
    <t>Camiatik Mahallesi Cumhuriyet Caddesi No:6 Karamürsel/Kocaeli</t>
  </si>
  <si>
    <t>0 (262) 452 10 25</t>
  </si>
  <si>
    <t>info@karamursel.bel.tr</t>
  </si>
  <si>
    <t>www.karamursel.bel.tr</t>
  </si>
  <si>
    <t>Kartepe</t>
  </si>
  <si>
    <t>M. Mustafa Kocaman</t>
  </si>
  <si>
    <t>Fatih Sultan Mehmet Mahallesi Kent Meydanı No:2 Kartepe/Kocaeli</t>
  </si>
  <si>
    <t>0 262 316 68 00</t>
  </si>
  <si>
    <t>bilgi@kartepe.bel.tr</t>
  </si>
  <si>
    <t>www.kartepe.bel.tr</t>
  </si>
  <si>
    <t>Körfez</t>
  </si>
  <si>
    <t>Şener Söğüt</t>
  </si>
  <si>
    <t>Mimar Sinan Mahallesi Eşref Bitlis Caddesi No:369 Körfez/Kocaeli</t>
  </si>
  <si>
    <t>0262 528 23 02</t>
  </si>
  <si>
    <t>bilgi@korfez.bel.tr</t>
  </si>
  <si>
    <t>www.korfez.bel.tr</t>
  </si>
  <si>
    <t>Konya</t>
  </si>
  <si>
    <t>Ahırlı</t>
  </si>
  <si>
    <t>Ali Üzlük</t>
  </si>
  <si>
    <t>Merkez Mah. Mezarlıklar Cad. No:5, 42390 Ahırlı/Konya</t>
  </si>
  <si>
    <t>0332 481 43 04</t>
  </si>
  <si>
    <t>www.ahirli.bel.tr</t>
  </si>
  <si>
    <t>Akören</t>
  </si>
  <si>
    <t>İsmail Arslan</t>
  </si>
  <si>
    <t>Ağalar Mah. Altan Tufan Cad. No:139, Akören/Konya</t>
  </si>
  <si>
    <t>0332 461 23 78</t>
  </si>
  <si>
    <t>akoren-bld@hotmail.com</t>
  </si>
  <si>
    <t>www.akoren.bel.tr</t>
  </si>
  <si>
    <t>Akşehir</t>
  </si>
  <si>
    <t>Dr. A. Nuri Köksal</t>
  </si>
  <si>
    <t>Kileci Mah. Bayram Sk. No:2, 42550 Akşehir/Konya</t>
  </si>
  <si>
    <t>0332 813 52 91</t>
  </si>
  <si>
    <t>aksehir@aksehir.bel.tr</t>
  </si>
  <si>
    <t>www.aksehir.bel.tr</t>
  </si>
  <si>
    <t>Altınekin</t>
  </si>
  <si>
    <t>Fatih Orhan</t>
  </si>
  <si>
    <t>Altınekin/Konya</t>
  </si>
  <si>
    <t>0332 631 22 42</t>
  </si>
  <si>
    <t>info@altinekin.bel.tr</t>
  </si>
  <si>
    <t>www.altinekin.bel.tr</t>
  </si>
  <si>
    <t>Beyşehir</t>
  </si>
  <si>
    <t>Adil Bayındır</t>
  </si>
  <si>
    <t>Hamidiye Mah. 40811. Sk. No:9, 42700 Beyşehir/Konya</t>
  </si>
  <si>
    <t>0332 512 33 99</t>
  </si>
  <si>
    <t>iletisim@beysehir.bel.tr</t>
  </si>
  <si>
    <t>www.beysehir.bel.tr</t>
  </si>
  <si>
    <t>Bozkır</t>
  </si>
  <si>
    <t>Nazif Karabulut</t>
  </si>
  <si>
    <t>Cumhuriyet Mah. İsmet İnönü Cad. No:10, 42630 Bozkır/Konya</t>
  </si>
  <si>
    <t>0332 426 11 11</t>
  </si>
  <si>
    <t>www.bozkir.bel.tr</t>
  </si>
  <si>
    <t>Cihanbeyli</t>
  </si>
  <si>
    <t>Dr. Fırat Kızılkaya</t>
  </si>
  <si>
    <t>Atçeken Mah. Konya Cad. No:52, Cihanbeyli/Konya</t>
  </si>
  <si>
    <t>0332 673 41 72</t>
  </si>
  <si>
    <t>bilgi@cihanbeyli.bel.tr</t>
  </si>
  <si>
    <t>www.cihanbeyli.bel.tr</t>
  </si>
  <si>
    <t>Çeltik</t>
  </si>
  <si>
    <t>Ali Meşe</t>
  </si>
  <si>
    <t>Çeltik/Konya</t>
  </si>
  <si>
    <t>0332 871 22 04</t>
  </si>
  <si>
    <t>bilgi@celtik.bel.tr</t>
  </si>
  <si>
    <t>www.celtik.bel.tr</t>
  </si>
  <si>
    <t>Çumra</t>
  </si>
  <si>
    <t>Mehmet Aydın</t>
  </si>
  <si>
    <t>İzzetbey Mah. Alparslan Türkeş Cad. No:33, 42500 Çumra/Konya</t>
  </si>
  <si>
    <t>0332 447 12 30</t>
  </si>
  <si>
    <t>baskan@cumra.bel.tr</t>
  </si>
  <si>
    <t>www.cumra.bel.tr</t>
  </si>
  <si>
    <t>Derbent</t>
  </si>
  <si>
    <t>Hüseyin Ayten</t>
  </si>
  <si>
    <t>Camikebir Mah. Hastane Cad. No:8, 42900 Derbent/Konya</t>
  </si>
  <si>
    <t>0332 561 20 05</t>
  </si>
  <si>
    <t>www.derbent.bel.tr</t>
  </si>
  <si>
    <t>Derebucak</t>
  </si>
  <si>
    <t>Ahmet Kısa</t>
  </si>
  <si>
    <t>Yeni Mah. Fatih Cad. No:40, Derebucak/Konya</t>
  </si>
  <si>
    <t>0332 537 14 96</t>
  </si>
  <si>
    <t>bilgi@derebucak.bel.tr</t>
  </si>
  <si>
    <t>www.derebucak.bel.tr</t>
  </si>
  <si>
    <t>Doğanhisar</t>
  </si>
  <si>
    <t>Ali Öztoklu</t>
  </si>
  <si>
    <t>Kuz Şehit Ahmet Ece Cad. No:2, 42930 Doğanhisar/Konya</t>
  </si>
  <si>
    <t>0332 556 14 46</t>
  </si>
  <si>
    <t>www.doganhisar.bel.tr</t>
  </si>
  <si>
    <t>Emirgazi</t>
  </si>
  <si>
    <t>Mesut Mertcan</t>
  </si>
  <si>
    <t>Camikebir Mah. Milli Egemenlik Cad. No:24, Emirgazi/Konya</t>
  </si>
  <si>
    <t>0332 747 22 51</t>
  </si>
  <si>
    <t>emirgazi@emirgazi.bel.tr</t>
  </si>
  <si>
    <t>www.emirgazi.bel.tr</t>
  </si>
  <si>
    <t>Ereğli</t>
  </si>
  <si>
    <t>Ümit Akpınar</t>
  </si>
  <si>
    <t>Namık Kemal Mah. Anıt Cad. No:58, Ereğli/Konya</t>
  </si>
  <si>
    <t>0332 710 07 07</t>
  </si>
  <si>
    <t>www.eregli.bel.tr</t>
  </si>
  <si>
    <t>Güneysınır</t>
  </si>
  <si>
    <t>Mevlana Mah. Mevlana Cad. No:98, 42490 Güneysınır/Konya</t>
  </si>
  <si>
    <t>www.guneysinir.bel.tr</t>
  </si>
  <si>
    <t>Hadim</t>
  </si>
  <si>
    <t>Mehmet Çetiner</t>
  </si>
  <si>
    <t>Taşpınar Mah. Hadimi Cad. No:03, 42830 Hadim/Konya</t>
  </si>
  <si>
    <t>0332 418 11 20</t>
  </si>
  <si>
    <t>www.hadim.bel.tr</t>
  </si>
  <si>
    <t>Halkapınar</t>
  </si>
  <si>
    <t>Mehmet Vardar</t>
  </si>
  <si>
    <t>Bahçelievler Mah. 107421 Sk. No:75, 42980 Halkapınar/Konya</t>
  </si>
  <si>
    <t>0332 771 23 60</t>
  </si>
  <si>
    <t>www.halkapinar.bel.tr</t>
  </si>
  <si>
    <t>Hüyük</t>
  </si>
  <si>
    <t>Dr. Sadık Sefer</t>
  </si>
  <si>
    <t>Bahçelievler Mah. Prof. Dr. Ahmet Ayhan Cad. No:3, Hüyük/Konya</t>
  </si>
  <si>
    <t>0332 543 10 13</t>
  </si>
  <si>
    <t>bilgi@huyuk.bel.tr</t>
  </si>
  <si>
    <t>www.huyuk.bel.tr</t>
  </si>
  <si>
    <t>Ilgın</t>
  </si>
  <si>
    <t>Yalçın Ertaş</t>
  </si>
  <si>
    <t>Ayvatdede Mah. Muhsin Yazıcıoğlu Cad. No:71, Ilgın/Konya</t>
  </si>
  <si>
    <t>0332 881 69 31</t>
  </si>
  <si>
    <t>info@ilgin.bel.tr</t>
  </si>
  <si>
    <t>www.ilgin.bel.tr</t>
  </si>
  <si>
    <t>Kadınhanı</t>
  </si>
  <si>
    <t>İrfan Karaca</t>
  </si>
  <si>
    <t>İstiklal Mah. Konya Cad. No:228, Kadınhanı/Konya</t>
  </si>
  <si>
    <t>0332 834 15 20</t>
  </si>
  <si>
    <t>bilgi@kadinhani.bel.tr</t>
  </si>
  <si>
    <t>www.kadinhani.bel.tr</t>
  </si>
  <si>
    <t>Karapınar</t>
  </si>
  <si>
    <t>Mehmet Yaka</t>
  </si>
  <si>
    <t>Hankapı Mah. İnönü Cad. No:35, Karapınar/Konya</t>
  </si>
  <si>
    <t>0332 755 69 12</t>
  </si>
  <si>
    <t>bilgi@karapinar.bel.tr</t>
  </si>
  <si>
    <t>www.karapinar.bel.tr</t>
  </si>
  <si>
    <t>Karatay</t>
  </si>
  <si>
    <t>Hasan Kılca</t>
  </si>
  <si>
    <t>Aziziye Mah. Garaj Cad. No:5, 42020 Karatay/Konya</t>
  </si>
  <si>
    <t>444 9 332</t>
  </si>
  <si>
    <t>iletisim@karatay.bel.tr</t>
  </si>
  <si>
    <t>www.karatay.bel.tr</t>
  </si>
  <si>
    <t>Kulu</t>
  </si>
  <si>
    <t>Abdurrahim Sertdemir</t>
  </si>
  <si>
    <t>Camikebir Mah. Atatürk Cad. No:1/201, 42770 Kulu/Konya</t>
  </si>
  <si>
    <t>444 9 584</t>
  </si>
  <si>
    <t>bilgi@kulu.bel.tr</t>
  </si>
  <si>
    <t>www.kulu.bel.tr</t>
  </si>
  <si>
    <t>Meram</t>
  </si>
  <si>
    <t>Mustafa Kavuş</t>
  </si>
  <si>
    <t>Yenişehir Mah. Azerbaycan Cad. No:5, 42010 Meram/Konya</t>
  </si>
  <si>
    <t>0332 320 10 00</t>
  </si>
  <si>
    <t>bizimmeram@meram.bel.tr</t>
  </si>
  <si>
    <t>www.meram.bel.tr</t>
  </si>
  <si>
    <t>Sarayönü</t>
  </si>
  <si>
    <t>Necati Koç</t>
  </si>
  <si>
    <t>Doğu İstasyon Mah. Tahir Çelik Cad. No:58, 42430 Sarayönü/Konya</t>
  </si>
  <si>
    <t>0332 617 10 85</t>
  </si>
  <si>
    <t>www.sarayonu.bel.tr</t>
  </si>
  <si>
    <t>Selçuklu</t>
  </si>
  <si>
    <t>Ahmet Pekyatırmacı</t>
  </si>
  <si>
    <t>Şeyh Şamil Mah. Doç. Dr. Halil Ürün Cad. No:19, 42070 Selçuklu/Konya</t>
  </si>
  <si>
    <t>444 99 19</t>
  </si>
  <si>
    <t>belediye@selcuklu.bel.tr</t>
  </si>
  <si>
    <t>www.selcuklu.bel.tr</t>
  </si>
  <si>
    <t>Seydişehir</t>
  </si>
  <si>
    <t>Mehmet Tutal</t>
  </si>
  <si>
    <t>Hacı Seyit Ali Mah. Mevlana Cad. No:3, Seydişehir/Konya</t>
  </si>
  <si>
    <t>0332 582 34 28</t>
  </si>
  <si>
    <t>bilgi@seydisehir.bel.tr</t>
  </si>
  <si>
    <t>www.seydisehir.bel.tr</t>
  </si>
  <si>
    <t>Taşkent</t>
  </si>
  <si>
    <t>Mehmet Acar</t>
  </si>
  <si>
    <t>Hıra Mah. Vali İzzet Bey Cad. No:46, Taşkent/Konya</t>
  </si>
  <si>
    <t>0332 497 10 24</t>
  </si>
  <si>
    <t>bilgi@taskent.bel.tr</t>
  </si>
  <si>
    <t>www.taskent.bel.tr</t>
  </si>
  <si>
    <t>Tuzlukçu</t>
  </si>
  <si>
    <t>Nurettin Akbuğa</t>
  </si>
  <si>
    <t>Pazar Mah. Atatürk Cad. No:42, 42970 Tuzlukçu/Konya</t>
  </si>
  <si>
    <t>0332 861 20 05</t>
  </si>
  <si>
    <t>www.tuzlukcu.bel.tr</t>
  </si>
  <si>
    <t>Yalıhüyük</t>
  </si>
  <si>
    <t>Aşağı Mah. Sahil Yolu Cad. No:20/1, 42470 Yalıhüyük/Konya</t>
  </si>
  <si>
    <t>0332 571 61 81</t>
  </si>
  <si>
    <t>www.yalihuyuk.bel.tr</t>
  </si>
  <si>
    <t>Yunak</t>
  </si>
  <si>
    <t>Sübhan Günaltay</t>
  </si>
  <si>
    <t>Yeni Mah. Hükümet Cad. No:70, Yunak/Konya</t>
  </si>
  <si>
    <t>0332 851 24 41</t>
  </si>
  <si>
    <t>bilgiislem@yunak.bel.tr</t>
  </si>
  <si>
    <t>www.yunak.bel.tr</t>
  </si>
  <si>
    <t>Kütahya</t>
  </si>
  <si>
    <t>Eyüp Kahveci</t>
  </si>
  <si>
    <t>Gaybiefendi Mah. Atatürk Bulvarı No:83 D:1, Merkez/Kütahya</t>
  </si>
  <si>
    <t>0 (274) 999 19 43</t>
  </si>
  <si>
    <t>cozum@kutahya.bel.tr</t>
  </si>
  <si>
    <t>www.kutahya.bel.tr</t>
  </si>
  <si>
    <t>Altıntaş</t>
  </si>
  <si>
    <t>Hikmet Tunç</t>
  </si>
  <si>
    <t>İstiklal Mah. Belediye Sk. No:6/2, 43800 Altıntaş/Kütahya</t>
  </si>
  <si>
    <t>0 274 311 2450</t>
  </si>
  <si>
    <t>info@altintas.bel.tr</t>
  </si>
  <si>
    <t>www.altintas.bel.tr</t>
  </si>
  <si>
    <t>Aslanapa</t>
  </si>
  <si>
    <t>Necati Kulik</t>
  </si>
  <si>
    <t>Cumhuriyet Mah. Cumhuriyet Meydanı No:4, 43210 Aslanapa/Kütahya</t>
  </si>
  <si>
    <t>0 (274) 331 2220</t>
  </si>
  <si>
    <t>bilgi@aslanapa.bel.tr</t>
  </si>
  <si>
    <t>www.aslanapa.bel.tr</t>
  </si>
  <si>
    <t>Çavdarhisar</t>
  </si>
  <si>
    <t>Halil İbrahim Topbaş</t>
  </si>
  <si>
    <t>Cereller Mah. Mustafa Ertaş Cad. No:1, 43710 Çavdarhisar/Kütahya</t>
  </si>
  <si>
    <t>0274 351 20 06</t>
  </si>
  <si>
    <t>cavdarhisar@cavdarhisar.bel.tr</t>
  </si>
  <si>
    <t>www.cavdarhisar.bel.tr</t>
  </si>
  <si>
    <t>Domaniç</t>
  </si>
  <si>
    <t>Engin Uysal</t>
  </si>
  <si>
    <t>Hisar Mah. Cumhuriyet Meydanı No:37, Domaniç/Kütahya</t>
  </si>
  <si>
    <t>0274 661 30 02</t>
  </si>
  <si>
    <t>belediye@domanic.bel.tr</t>
  </si>
  <si>
    <t>www.domanic.bel.tr</t>
  </si>
  <si>
    <t>Dumlupınar</t>
  </si>
  <si>
    <t>Zekeriya Yılmaz</t>
  </si>
  <si>
    <t>www.dumlupinar.bel.tr</t>
  </si>
  <si>
    <t>Emet</t>
  </si>
  <si>
    <t>Mustafa Koca</t>
  </si>
  <si>
    <t>Cumhuriyet Mah. Hükümet Cad. No:12, 43700 Emet/Kütahya</t>
  </si>
  <si>
    <t>0 (274) 461 30 10</t>
  </si>
  <si>
    <t>info@emet.bel.tr</t>
  </si>
  <si>
    <t>www.emet.bel.tr</t>
  </si>
  <si>
    <t>Gediz</t>
  </si>
  <si>
    <t>Necdet Akel</t>
  </si>
  <si>
    <t>Özyurt Mah. Cumhuriyet Cad. No:4, Gediz/Kütahya</t>
  </si>
  <si>
    <t>0 (274) 412 44 44</t>
  </si>
  <si>
    <t>info@gediz.bel.tr</t>
  </si>
  <si>
    <t>www.gediz.bel.tr</t>
  </si>
  <si>
    <t>Hisarcık</t>
  </si>
  <si>
    <t>Mustafa Demirtaş</t>
  </si>
  <si>
    <t>0274 481 3085</t>
  </si>
  <si>
    <t>info@hisarcik.bel.tr</t>
  </si>
  <si>
    <t>www.hisarcik.bel.tr</t>
  </si>
  <si>
    <t>Pazarlar</t>
  </si>
  <si>
    <t>Bilal Demirci</t>
  </si>
  <si>
    <t>Atatürk Mah. Cumhuriyet Meydanı No:1, Pazarlar/Kütahya</t>
  </si>
  <si>
    <t>0274 571 2002</t>
  </si>
  <si>
    <t>info@pazarlar.bel.tr</t>
  </si>
  <si>
    <t>www.pazarlar.bel.tr</t>
  </si>
  <si>
    <t>Simav</t>
  </si>
  <si>
    <t>Kübra Tekel Aktulun</t>
  </si>
  <si>
    <t>Tabakhane Mah. Belediye Meydanı No:1, Simav/Kütahya</t>
  </si>
  <si>
    <t>0274 513 70 06</t>
  </si>
  <si>
    <t>info@simav.bel.tr</t>
  </si>
  <si>
    <t>www.simav.bel.tr</t>
  </si>
  <si>
    <t>Şaphane</t>
  </si>
  <si>
    <t>Lütfi Mutlu</t>
  </si>
  <si>
    <t>Belediye Hizmet Binası, Şaphane/Kütahya</t>
  </si>
  <si>
    <t>0274 551 2005</t>
  </si>
  <si>
    <t>bilgi@saphane.bel.tr</t>
  </si>
  <si>
    <t>www.saphane.bel.tr</t>
  </si>
  <si>
    <t>Tavşanlı</t>
  </si>
  <si>
    <t>Ali Kemal Derin</t>
  </si>
  <si>
    <t>Cumhuriyet Meydanı No:1, 43300 Tavşanlı/Kütahya</t>
  </si>
  <si>
    <t>0274 614 15 10</t>
  </si>
  <si>
    <t>iletisim@tavsanli.bel.tr</t>
  </si>
  <si>
    <t>www.tavsanli.bel.tr</t>
  </si>
  <si>
    <t>Malatya</t>
  </si>
  <si>
    <t>Battalgazi</t>
  </si>
  <si>
    <t>Bayram Taşkın</t>
  </si>
  <si>
    <t>Üçbağlar Mah. Sivas Cad. No:48 / Battalgazi - MALATYA</t>
  </si>
  <si>
    <t>444 65 95</t>
  </si>
  <si>
    <t>bim@battalgazi.bel.tr</t>
  </si>
  <si>
    <t>www.battalgazi.bel.tr</t>
  </si>
  <si>
    <t>Yeşilyurt</t>
  </si>
  <si>
    <t>Prof. Dr. İlhan Geçit</t>
  </si>
  <si>
    <t>Turgut Özal Mahallesi Gülümser Cad. No:2 Yeşilyurt/Malatya</t>
  </si>
  <si>
    <t>0 (422) 377 77 77</t>
  </si>
  <si>
    <t>info@yesilyurt.bel.tr</t>
  </si>
  <si>
    <t>www.yesilyurt.bel.tr</t>
  </si>
  <si>
    <t>Akçadağ</t>
  </si>
  <si>
    <t>Hasan Ulutaş</t>
  </si>
  <si>
    <t>Doğu Mah. Ören Cad. No:1 Akçadağ / MALATYA</t>
  </si>
  <si>
    <t>0 (422) 417 10 36</t>
  </si>
  <si>
    <t>info@akcadag.bel.tr</t>
  </si>
  <si>
    <t>www.akcadag.bel.tr</t>
  </si>
  <si>
    <t>Arapgir</t>
  </si>
  <si>
    <t>Haluk Cömertoğlu</t>
  </si>
  <si>
    <t>Yeni Mah. Sanayi 2 Sok. No:2 Arapgir/Malatya</t>
  </si>
  <si>
    <t>0 (422) 811 30 03</t>
  </si>
  <si>
    <t>info@arapgir.bel.tr</t>
  </si>
  <si>
    <t>www.arapgir.bel.tr</t>
  </si>
  <si>
    <t>Arguvan</t>
  </si>
  <si>
    <t>Ersoy Eren</t>
  </si>
  <si>
    <t>Yeni Mah. Atatürk Cad No:13 Arguvan / MALATYA</t>
  </si>
  <si>
    <t>0 (422) 771 20 06</t>
  </si>
  <si>
    <t>info@arguvan.bel.tr</t>
  </si>
  <si>
    <t>www.arguvan.bel.tr</t>
  </si>
  <si>
    <t>Darende</t>
  </si>
  <si>
    <t>Alican Bozkurt</t>
  </si>
  <si>
    <t>Heyiketeği Mah. Somuncubaba Bul. No:10 Darende/Malatya</t>
  </si>
  <si>
    <t>0 (422) 615 25 00</t>
  </si>
  <si>
    <t>info@darende.bel.tr</t>
  </si>
  <si>
    <t>www.darende.bel.tr</t>
  </si>
  <si>
    <t>Doğanşehir</t>
  </si>
  <si>
    <t>Mehmet Bayram</t>
  </si>
  <si>
    <t>Esentepe Mah. Hastane Sok. No:22 Doğanşehir/MALATYA</t>
  </si>
  <si>
    <t>0 (422) 517 10 79</t>
  </si>
  <si>
    <t>www.dogansehir.bel.tr</t>
  </si>
  <si>
    <t>Doğanyol</t>
  </si>
  <si>
    <t>Hakan Bay</t>
  </si>
  <si>
    <t>Doğanyol / MALATYA</t>
  </si>
  <si>
    <t>0 (422) 881 61 08</t>
  </si>
  <si>
    <t>www.doganyol.bel.tr</t>
  </si>
  <si>
    <t>Hekimhan</t>
  </si>
  <si>
    <t>Mehmet Şerif Yıldırım</t>
  </si>
  <si>
    <t>Bahçelievler Mah. Yeniyol 3. Sok. No:6 Hekimhan/Malatya</t>
  </si>
  <si>
    <t>0 (422) 713 11 89</t>
  </si>
  <si>
    <t>hekimhanbelediyesi@hotmail.com</t>
  </si>
  <si>
    <t>www.hekimhan.bel.tr</t>
  </si>
  <si>
    <t>İhsan Özbay</t>
  </si>
  <si>
    <t>Soğukpınar Mah. Mahmut Dursun 5. Sok. No:19 KALE/MALATYA</t>
  </si>
  <si>
    <t>0 (422) 861 62 60</t>
  </si>
  <si>
    <t>info@malatyakale.bel.tr</t>
  </si>
  <si>
    <t>www.malatyakale.bel.tr</t>
  </si>
  <si>
    <t>Kuluncak</t>
  </si>
  <si>
    <t>Erhan Cengiz</t>
  </si>
  <si>
    <t>İstiklal Mah. Fevzipaşa Cad. No:187 Kuluncak/Malatya</t>
  </si>
  <si>
    <t>0 (422) 681 20 70</t>
  </si>
  <si>
    <t>kuluncakbelediyesi@gmail.com</t>
  </si>
  <si>
    <t>www.kuluncak.bel.tr</t>
  </si>
  <si>
    <t>Pütürge</t>
  </si>
  <si>
    <t>Mikail Sülük</t>
  </si>
  <si>
    <t>Taşbaşı Mah. Hükümet Cad. No:29 Pütürge/Malatya</t>
  </si>
  <si>
    <t>0 (422) 561 20 12</t>
  </si>
  <si>
    <t>www.puturge.bel.tr</t>
  </si>
  <si>
    <t>Yazıhan</t>
  </si>
  <si>
    <t>Av. Abdulvahap Göçer</t>
  </si>
  <si>
    <t>Yazıhan Belediye Başkanlığı Yazıhan/Malatya</t>
  </si>
  <si>
    <t>0 (422) 751 40 54</t>
  </si>
  <si>
    <t>info@yazihan.bel.tr</t>
  </si>
  <si>
    <t>www.yazihan.bel.tr</t>
  </si>
  <si>
    <t>Manisa</t>
  </si>
  <si>
    <t>Ahmetli</t>
  </si>
  <si>
    <t>Fuat Mintaş</t>
  </si>
  <si>
    <t>Altıeylül Mah. Hükümet Cad. No:30, 45450 Ahmetli/Manisa</t>
  </si>
  <si>
    <t>0236 768 13 00</t>
  </si>
  <si>
    <t>iletisim@ahmetli.bel.tr</t>
  </si>
  <si>
    <t>www.ahmetli.bel.tr</t>
  </si>
  <si>
    <t>Akhisar</t>
  </si>
  <si>
    <t>Ekrem Kayserili</t>
  </si>
  <si>
    <t>İnönü Mah. 15. Sokak No:59, 45200 Akhisar/Manisa</t>
  </si>
  <si>
    <t>444 1 145</t>
  </si>
  <si>
    <t>akbel@akhisar.bel.tr</t>
  </si>
  <si>
    <t>www.akhisar.bel.tr</t>
  </si>
  <si>
    <t>Alaşehir</t>
  </si>
  <si>
    <t>Ahmet Öküzcüoğlu</t>
  </si>
  <si>
    <t>Yenice Mah. Beşeylül Cad. No:30, 45600 Alaşehir/Manisa</t>
  </si>
  <si>
    <t>444 8 653</t>
  </si>
  <si>
    <t>info@alasehir.bel.tr</t>
  </si>
  <si>
    <t>www.alasehir.bel.tr</t>
  </si>
  <si>
    <t>Demirci</t>
  </si>
  <si>
    <t>Erkan Kara</t>
  </si>
  <si>
    <t>Camiatik Mah. Birlik Cad. No:2, 45900 Demirci/Manisa</t>
  </si>
  <si>
    <t>0236 462 13 23</t>
  </si>
  <si>
    <t>demircibld@demirci-bld.gov.tr</t>
  </si>
  <si>
    <t>www.demirci-bld.gov.tr</t>
  </si>
  <si>
    <t>Gölmarmara</t>
  </si>
  <si>
    <t>Cem Aykan</t>
  </si>
  <si>
    <t>Yenicamii Mah. Vali Niyazi Aras Cad. No:26, 45580 Gölmarmara/Manisa</t>
  </si>
  <si>
    <t>0236 515 10 02</t>
  </si>
  <si>
    <t>info@golmarmara.bel.tr</t>
  </si>
  <si>
    <t>www.golmarmara.bel.tr</t>
  </si>
  <si>
    <t>Gördes</t>
  </si>
  <si>
    <t>İbrahim Büke</t>
  </si>
  <si>
    <t>Cuma Mah. Cumhuriyet Cad. No:5, 45750 Gördes/Manisa</t>
  </si>
  <si>
    <t>0236 547 15 20</t>
  </si>
  <si>
    <t>iletisim@gordes.bel.tr</t>
  </si>
  <si>
    <t>www.gordes.bel.tr</t>
  </si>
  <si>
    <t>Kırkağaç</t>
  </si>
  <si>
    <t>Üstün Dönmez</t>
  </si>
  <si>
    <t>Yeni Mah. 46. Sokak No:4/B, 45700 Kırkağaç/Manisa</t>
  </si>
  <si>
    <t>0236 588 10 22</t>
  </si>
  <si>
    <t>bilgi@kirkagac.bel.tr</t>
  </si>
  <si>
    <t>www.kirkagac.bel.tr</t>
  </si>
  <si>
    <t>Köprübaşı</t>
  </si>
  <si>
    <t>Fatih Taşlı</t>
  </si>
  <si>
    <t>Atatürk Mah. Mescit Sok. No:5, 45930 Köprübaşı/Manisa</t>
  </si>
  <si>
    <t>0236 571 20 07</t>
  </si>
  <si>
    <t>www.koprubasi.bel.tr</t>
  </si>
  <si>
    <t>Kula</t>
  </si>
  <si>
    <t>Hikmet Dönmez</t>
  </si>
  <si>
    <t>4 Eylül Mah. Yunus Emre Cad. No:96, 45170 Kula/Manisa</t>
  </si>
  <si>
    <t>0236 816 70 05</t>
  </si>
  <si>
    <t>www.kula.bel.tr</t>
  </si>
  <si>
    <t>Salihli</t>
  </si>
  <si>
    <t>Mazlum Nurlu</t>
  </si>
  <si>
    <t>Atatürk Mah. 535. Sk. No:2, 45320 Salihli/Manisa</t>
  </si>
  <si>
    <t>0236 713 26 40</t>
  </si>
  <si>
    <t>info@salihli.bel.tr</t>
  </si>
  <si>
    <t>www.salihli.bel.tr</t>
  </si>
  <si>
    <t>Sarıgöl</t>
  </si>
  <si>
    <t>Tahsin Akdeniz</t>
  </si>
  <si>
    <t>Cumhuriyet Mah. İstiklal Cad. No:1/1, 45470 Sarıgöl/Manisa</t>
  </si>
  <si>
    <t>0236 867 50 01</t>
  </si>
  <si>
    <t>info@sarigol.bel.tr</t>
  </si>
  <si>
    <t>www.sarigol.bel.tr</t>
  </si>
  <si>
    <t>Saruhanlı</t>
  </si>
  <si>
    <t>Ekrem Cıllı</t>
  </si>
  <si>
    <t>Saruhan Mah. Eşref Ozan Sok. No:1, 45380 Saruhanlı/Manisa</t>
  </si>
  <si>
    <t>0236 357 10 84</t>
  </si>
  <si>
    <t>info@saruhanli.bel.tr</t>
  </si>
  <si>
    <t>www.saruhanli.bel.tr</t>
  </si>
  <si>
    <t>Selendi</t>
  </si>
  <si>
    <t>Murat Daban</t>
  </si>
  <si>
    <t>Eski Cami Mah. Hava Astsubay Kamil Yılmaz Cad. No:72/A, 45970 Selendi/Manisa</t>
  </si>
  <si>
    <t>0236 788 10 05</t>
  </si>
  <si>
    <t>ozelkalem@selendi.bel.tr</t>
  </si>
  <si>
    <t>www.selendi.bel.tr</t>
  </si>
  <si>
    <t>Soma</t>
  </si>
  <si>
    <t>Sercan Okur</t>
  </si>
  <si>
    <t>Kurtuluş Mah. Cengiz Topel Meydanı No:8/A, 45500 Soma/Manisa</t>
  </si>
  <si>
    <t>444 1 891</t>
  </si>
  <si>
    <t>bilgi@soma.bel.tr</t>
  </si>
  <si>
    <t>www.soma.bel.tr</t>
  </si>
  <si>
    <t>Şehzadeler</t>
  </si>
  <si>
    <t>Hakan Şimşek</t>
  </si>
  <si>
    <t>Anafartalar Mah. Ergen Cad. No:2, 45020 Şehzadeler/Manisa</t>
  </si>
  <si>
    <t>0236 250 11 00</t>
  </si>
  <si>
    <t>bilgi.edinme@sehzadeler.bel.tr</t>
  </si>
  <si>
    <t>www.sehzadeler.bel.tr</t>
  </si>
  <si>
    <t>Turgutlu</t>
  </si>
  <si>
    <t>Çetin Akın</t>
  </si>
  <si>
    <t>Turan Mah. Yedieylül Yolu No:23, 45400 Turgutlu/Manisa</t>
  </si>
  <si>
    <t>0236 313 27 27</t>
  </si>
  <si>
    <t>www.turgutlu.bel.tr</t>
  </si>
  <si>
    <t>Yunusemre</t>
  </si>
  <si>
    <t>Musa Semih Balaban</t>
  </si>
  <si>
    <t>Akmescit Mah. Mimar Sinan Bulv. No:157, 45030 Yunusemre/Manisa</t>
  </si>
  <si>
    <t>444 62 09</t>
  </si>
  <si>
    <t>bilgi@yunusemre.bel.tr</t>
  </si>
  <si>
    <t>www.yunusemre.bel.tr</t>
  </si>
  <si>
    <t>Kahramanmaraş</t>
  </si>
  <si>
    <t>Afşin</t>
  </si>
  <si>
    <t>Koray Kıraç</t>
  </si>
  <si>
    <t>Efsus Turan Mahallesi A. Nazım Kaynak 4. Sokak No:5, 46500 Afşin / Kahramanmaraş</t>
  </si>
  <si>
    <t>444 9 046</t>
  </si>
  <si>
    <t>www.afsin.bel.tr</t>
  </si>
  <si>
    <t>Andırın</t>
  </si>
  <si>
    <t>Ahmet Sinan Gökşen</t>
  </si>
  <si>
    <t>Pınarbaşı, Kadelli Cad., 46400 Andırın / Kahramanmaraş</t>
  </si>
  <si>
    <t>0344 561 20 12</t>
  </si>
  <si>
    <t>www.andirin.bel.tr</t>
  </si>
  <si>
    <t>Çağlayancerit</t>
  </si>
  <si>
    <t>Yemliha Göktaş</t>
  </si>
  <si>
    <t>Fatih Mahallesi Atatürk Caddesi No:15, Çağlayancerit / Kahramanmaraş</t>
  </si>
  <si>
    <t>0344 351 22 23</t>
  </si>
  <si>
    <t>info@caglayancerit.bel.tr</t>
  </si>
  <si>
    <t>www.caglayancerit.bel.tr</t>
  </si>
  <si>
    <t>Dulkadiroğlu</t>
  </si>
  <si>
    <t>Mehmet Akpınar</t>
  </si>
  <si>
    <t>Aslanbey Mahallesi 7084. Sokak No:10 Kamu Külliyesi, Dulkadiroğlu / Kahramanmaraş</t>
  </si>
  <si>
    <t>444 9 812</t>
  </si>
  <si>
    <t>www.dulkadiroglu.bel.tr</t>
  </si>
  <si>
    <t>Ekinözü</t>
  </si>
  <si>
    <t>Harun Vicdan</t>
  </si>
  <si>
    <t>Öztürk Mahallesi İbnisina Caddesi No:6/A, Ekinözü / Kahramanmaraş</t>
  </si>
  <si>
    <t>0344 481 20 17</t>
  </si>
  <si>
    <t>www.ekinozu.bel.tr</t>
  </si>
  <si>
    <t>Elbistan</t>
  </si>
  <si>
    <t>Erkan Gürbüz</t>
  </si>
  <si>
    <t>Köprübaşı Mahallesi Köprübaşı Caddesi, Elbistan / Kahramanmaraş</t>
  </si>
  <si>
    <t>0344 415 10 04</t>
  </si>
  <si>
    <t>info@elbistan.bel.tr</t>
  </si>
  <si>
    <t>www.elbistan.bel.tr</t>
  </si>
  <si>
    <t>Göksun</t>
  </si>
  <si>
    <t>Selim Cüce</t>
  </si>
  <si>
    <t>Köprübaşı Mahallesi Malazgirt Caddesi No:1, Göksun / Kahramanmaraş</t>
  </si>
  <si>
    <t>0344 714 11 93</t>
  </si>
  <si>
    <t>iletisim@goksun.bel.tr</t>
  </si>
  <si>
    <t>www.goksun.bel.tr</t>
  </si>
  <si>
    <t>Nurhak</t>
  </si>
  <si>
    <t>İlhami Bozan</t>
  </si>
  <si>
    <t>Karaçar, Atatürk Bulvarı, 46370 Nurhak / Kahramanmaraş</t>
  </si>
  <si>
    <t>0344 471 21 11</t>
  </si>
  <si>
    <t>nurhakbelediyesi@nurhak.bel.tr</t>
  </si>
  <si>
    <t>www.nurhak.bel.tr</t>
  </si>
  <si>
    <t>Onikişubat</t>
  </si>
  <si>
    <t>Hanifi Toptaş</t>
  </si>
  <si>
    <t>Cumhuriyet Mah. Prof. Dr. Necmettin Erbakan Bulvarı 14064 Sok No:134/A, Onikişubat / Kahramanmaraş</t>
  </si>
  <si>
    <t>444 70 46</t>
  </si>
  <si>
    <t>info@onikisubat.bel.tr</t>
  </si>
  <si>
    <t>www.onikisubat.bel.tr</t>
  </si>
  <si>
    <t>Pazarcık</t>
  </si>
  <si>
    <t>Haydar İkizer</t>
  </si>
  <si>
    <t>Menderes, İstasyon Caddesi No:1, 46700 Pazarcık / Kahramanmaraş</t>
  </si>
  <si>
    <t>0344 311 43 14</t>
  </si>
  <si>
    <t>www.pazarcik.bel.tr</t>
  </si>
  <si>
    <t>Türkoğlu</t>
  </si>
  <si>
    <t>Mehmet Karaca</t>
  </si>
  <si>
    <t>Fatih Mahallesi Mahir Ünal Caddesi No:22/2, Türkoğlu / Kahramanmaraş</t>
  </si>
  <si>
    <t>0344 618 10 05</t>
  </si>
  <si>
    <t>www.turkoglu.bel.tr</t>
  </si>
  <si>
    <t>Mardin</t>
  </si>
  <si>
    <t>Artuklu</t>
  </si>
  <si>
    <t>Mehmet Ali Amak / Münevver Ölker (Eşbaşkan)</t>
  </si>
  <si>
    <t>13 Mart Mahallesi, Vali Ozan Caddesi No:46, Artuklu/MARDİN</t>
  </si>
  <si>
    <t>0482 212 10 49</t>
  </si>
  <si>
    <t>basin@artuklu.bel.tr</t>
  </si>
  <si>
    <t>https://artuklu.bel.tr</t>
  </si>
  <si>
    <t>Dargeçit</t>
  </si>
  <si>
    <t>Asya Gezer / Ramazan Akın (Eşbaşkan)</t>
  </si>
  <si>
    <t>Bahçebaşı, Barış Bulvarı, 47750 Dargeçit/Mardin</t>
  </si>
  <si>
    <t>0482 381 20 01</t>
  </si>
  <si>
    <t>https://www.dargecit.bel.tr</t>
  </si>
  <si>
    <t>Derik</t>
  </si>
  <si>
    <t>Songül Özbahçeci / Cengiz Temelli (Eşbaşkan)</t>
  </si>
  <si>
    <t>Cevizpınar Mahallesi, Derik/MARDİN</t>
  </si>
  <si>
    <t>0482 251 30 24</t>
  </si>
  <si>
    <t>tcderikbelediye@gmail.com</t>
  </si>
  <si>
    <t>https://derik.bel.tr</t>
  </si>
  <si>
    <t>Kızıltepe</t>
  </si>
  <si>
    <t>Zeyni İpek (Bağımsız)</t>
  </si>
  <si>
    <t>Tepebaşı Mahallesi, Adnan Menderes Caddesi No:13, Kızıltepe/MARDİN</t>
  </si>
  <si>
    <t>0482 312 20 77</t>
  </si>
  <si>
    <t>info@kiziltepe.bel.tr</t>
  </si>
  <si>
    <t>https://www.kiziltepe.bel.tr</t>
  </si>
  <si>
    <t>Mazıdağı</t>
  </si>
  <si>
    <t>Kudret Uçuk / Hamdin Demir (Eşbaşkan)</t>
  </si>
  <si>
    <t>Poyraz, Yeşil Derik Caddesi Pk:47700, 47700 Mazıdağı/Mardin</t>
  </si>
  <si>
    <t>0482 511 10 11</t>
  </si>
  <si>
    <t>basin@mazidagi.bel.tr</t>
  </si>
  <si>
    <t>https://mazidagi.bel.tr</t>
  </si>
  <si>
    <t>Midyat</t>
  </si>
  <si>
    <t>Veysi Şahin</t>
  </si>
  <si>
    <t>47500 Midyat/MARDİN</t>
  </si>
  <si>
    <t>0482 462 29 80</t>
  </si>
  <si>
    <t>mail@midyat.bel.tr</t>
  </si>
  <si>
    <t>https://www.midyat.bel.tr</t>
  </si>
  <si>
    <t>Nusaybin</t>
  </si>
  <si>
    <t>Gülbin Şahin Dağhan / Selahattin Ay (Eşbaşkan)</t>
  </si>
  <si>
    <t>Mor Yakup Mahallesi, Cumhuriyet Meydanı, 47300 Nusaybin/MARDİN</t>
  </si>
  <si>
    <t>0482 415 12 95</t>
  </si>
  <si>
    <t>info@nusaybin.bel.tr</t>
  </si>
  <si>
    <t>https://www.nusaybin.bel.tr</t>
  </si>
  <si>
    <t>Ömerli</t>
  </si>
  <si>
    <t>Hüsamettin Altındağ</t>
  </si>
  <si>
    <t>Cumhuriyet Mahallesi, Hürriyet Caddesi, Hükümet Konağı, Ömerli/Mardin</t>
  </si>
  <si>
    <t>0482 541 31 61</t>
  </si>
  <si>
    <t>https://www.omerli.bel.tr</t>
  </si>
  <si>
    <t>Savur</t>
  </si>
  <si>
    <t>Engin Uğur Hamidi</t>
  </si>
  <si>
    <t>Safa Mahallesi, Tarihi Çarşı Caddesi No:26, Savur/Mardin</t>
  </si>
  <si>
    <t>0482 571 21 42</t>
  </si>
  <si>
    <t>info@savur.bel.tr</t>
  </si>
  <si>
    <t>https://www.savur.bel.tr</t>
  </si>
  <si>
    <t>Yeşilli</t>
  </si>
  <si>
    <t>Hayrettin Demir</t>
  </si>
  <si>
    <t>Gül Mahallesi, Vatan Caddesi No:21, 47650 Yeşilli/Mardin</t>
  </si>
  <si>
    <t>0482 591 19 81</t>
  </si>
  <si>
    <t>https://www.yesilli.bel.tr</t>
  </si>
  <si>
    <t>Muğla</t>
  </si>
  <si>
    <t>Bodrum</t>
  </si>
  <si>
    <t>Tamer Mandalinci</t>
  </si>
  <si>
    <t>Çarşı Mah. Belediye Meydanı No.1, Bodrum/Muğla</t>
  </si>
  <si>
    <t>444 00 48</t>
  </si>
  <si>
    <t>info@bodrum.bel.tr</t>
  </si>
  <si>
    <t>www.bodrum.bel.tr</t>
  </si>
  <si>
    <t>Dalaman</t>
  </si>
  <si>
    <t>Sezer Durmuş</t>
  </si>
  <si>
    <t>Karaçalı Mah. Atatürk Cad. No:96, 48870 Dalaman/Muğla</t>
  </si>
  <si>
    <t>0 850 307 1967</t>
  </si>
  <si>
    <t>www.dalaman.bel.tr</t>
  </si>
  <si>
    <t>Datça</t>
  </si>
  <si>
    <t>Aytaç Kurt</t>
  </si>
  <si>
    <t>İskele Mah. Datça/Muğla</t>
  </si>
  <si>
    <t>info@datca.bel.tr</t>
  </si>
  <si>
    <t>www.datca.bel.tr</t>
  </si>
  <si>
    <t>Fethiye</t>
  </si>
  <si>
    <t>Alim Karaca</t>
  </si>
  <si>
    <t>Cumhuriyet Mah. Atatürk Cad. No:17, 48300 Fethiye/Muğla</t>
  </si>
  <si>
    <t>444 90 82</t>
  </si>
  <si>
    <t>belediyem@fethiye.bel.tr</t>
  </si>
  <si>
    <t>www.fethiye.bel.tr</t>
  </si>
  <si>
    <t>Kavaklıdere</t>
  </si>
  <si>
    <t>Mehmet Demir</t>
  </si>
  <si>
    <t>Bakırcılar Mah. Atatürk Cad. No:1, 48570 Kavaklıdere/Muğla</t>
  </si>
  <si>
    <t>www.kavaklidere.bel.tr</t>
  </si>
  <si>
    <t>Köyceğiz</t>
  </si>
  <si>
    <t>Ali Erdoğan</t>
  </si>
  <si>
    <t>Ulucami Mah. Atatürk Bulvarı No:79, Köyceğiz/Muğla</t>
  </si>
  <si>
    <t>0 (252) 262 40 05</t>
  </si>
  <si>
    <t>info@koycegiz.bel.tr</t>
  </si>
  <si>
    <t>www.koycegiz.bel.tr</t>
  </si>
  <si>
    <t>Marmaris</t>
  </si>
  <si>
    <t>Acar Ünlü</t>
  </si>
  <si>
    <t>Sarıana Mah. Mustafa Münir Elgin Bulvarı No:3, Marmaris/Muğla</t>
  </si>
  <si>
    <t>0850 888 48 48</t>
  </si>
  <si>
    <t>info@marmaris.bel.tr</t>
  </si>
  <si>
    <t>www.marmaris.bel.tr</t>
  </si>
  <si>
    <t>Menteşe</t>
  </si>
  <si>
    <t>Köksal Aras</t>
  </si>
  <si>
    <t>Şeyh Mah. Belediye Sk. No:11, Menteşe/Muğla</t>
  </si>
  <si>
    <t>0 252 214 48 80</t>
  </si>
  <si>
    <t>www.mentese.bel.tr</t>
  </si>
  <si>
    <t>Milas</t>
  </si>
  <si>
    <t>Fevzi Topuz</t>
  </si>
  <si>
    <t>Hisarbaşı Mah. Belediye Cad. No:30, 48200 Milas/Muğla</t>
  </si>
  <si>
    <t>0252 512 14 16</t>
  </si>
  <si>
    <t>info@milas.bel.tr</t>
  </si>
  <si>
    <t>www.milas.bel.tr</t>
  </si>
  <si>
    <t>Ortaca</t>
  </si>
  <si>
    <t>Evren Tezcan</t>
  </si>
  <si>
    <t>Atatürk Mah. Atatürk Bulvarı No:105, 48600 Ortaca/Muğla</t>
  </si>
  <si>
    <t>info@ortaca.bel.tr</t>
  </si>
  <si>
    <t>www.ortaca.bel.tr</t>
  </si>
  <si>
    <t>Seydikemer</t>
  </si>
  <si>
    <t>Bayram Önder Akdenizli</t>
  </si>
  <si>
    <t>Cumhuriyet Mah. 25. Cadde No:5, Seydikemer/Muğla</t>
  </si>
  <si>
    <t>0252 656 56 56</t>
  </si>
  <si>
    <t>bilgi@seydikemer.bel.tr</t>
  </si>
  <si>
    <t>www.seydikemer.bel.tr</t>
  </si>
  <si>
    <t>Ula</t>
  </si>
  <si>
    <t>Mehmet Caner</t>
  </si>
  <si>
    <t>Ula/Muğla</t>
  </si>
  <si>
    <t>0252 242 30 08</t>
  </si>
  <si>
    <t>info@ula.bel.tr</t>
  </si>
  <si>
    <t>www.ula.bel.tr</t>
  </si>
  <si>
    <t>Yatağan</t>
  </si>
  <si>
    <t>Mesut Günay</t>
  </si>
  <si>
    <t>Konak Mah. 96. Sokak No:2, Yatağan/Muğla</t>
  </si>
  <si>
    <t>0252 572 59 00</t>
  </si>
  <si>
    <t>info@yatagan.bel.tr</t>
  </si>
  <si>
    <t>www.yatagan.bel.tr</t>
  </si>
  <si>
    <t>Muş</t>
  </si>
  <si>
    <t>Sırrı Söylemez</t>
  </si>
  <si>
    <t>Minare Mah. Muş Cad. 49100 Muş/Merkez</t>
  </si>
  <si>
    <t>0436 212 12 81 / 0436 212 10 99</t>
  </si>
  <si>
    <t>info@mus.bel.tr</t>
  </si>
  <si>
    <t>www.mus.bel.tr</t>
  </si>
  <si>
    <t>Bulanık</t>
  </si>
  <si>
    <t>Aryan Doğan / Arafat Kardağı (Eş Başkanlar)</t>
  </si>
  <si>
    <t>Zafer Mah. Suat İshakoğlu Cad. No:212, 49500 Bulanık/Muş</t>
  </si>
  <si>
    <t>0436 311 41 44</t>
  </si>
  <si>
    <t>www.bulanik.bel.tr</t>
  </si>
  <si>
    <t>Hasköy</t>
  </si>
  <si>
    <t>Cemal Orbay</t>
  </si>
  <si>
    <t>Sunay Mah. Yusuf Sayan Bulvarı No:3 Hasköy/Muş</t>
  </si>
  <si>
    <t>0436 411 20 05 / 0436 411 20 35</t>
  </si>
  <si>
    <t>haskoybelediyesi.49@gmail.com</t>
  </si>
  <si>
    <t>www.haskoy.bel.tr</t>
  </si>
  <si>
    <t>Korkut</t>
  </si>
  <si>
    <t>Haşim Arık</t>
  </si>
  <si>
    <t>Bahçelievler Mah. Mehmet Akpolat Cad. 49800 Korkut/Muş</t>
  </si>
  <si>
    <t>0436 611 60 23</t>
  </si>
  <si>
    <t>Malazgirt</t>
  </si>
  <si>
    <t>Ahmet Kenan Türker</t>
  </si>
  <si>
    <t>1 Eylül Barış Caddesi Malazgirt/Muş</t>
  </si>
  <si>
    <t>0436 511 20 71</t>
  </si>
  <si>
    <t>malazgirtbel@gov.tr</t>
  </si>
  <si>
    <t>www.malazgirt.bel.tr</t>
  </si>
  <si>
    <t>Varto</t>
  </si>
  <si>
    <t>Giyasettin Aydemir / Gülbahar Kaya (Eş Başkanlar)</t>
  </si>
  <si>
    <t>Kültür Mah. İnönü Caddesi No:1 Varto/Muş</t>
  </si>
  <si>
    <t>0436 711 25 92</t>
  </si>
  <si>
    <t>vartobelediyesi49@hotmail.com</t>
  </si>
  <si>
    <t>www.varto.bel.tr</t>
  </si>
  <si>
    <t>Nevşehir</t>
  </si>
  <si>
    <t>Nevşehir (Merkez)</t>
  </si>
  <si>
    <t>Rasim Arı</t>
  </si>
  <si>
    <t>Camicedit Mah. Belediye Cad. No:73 Merkez / Nevşehir</t>
  </si>
  <si>
    <t>0384 213 1220</t>
  </si>
  <si>
    <t>www.nevsehir.bel.tr</t>
  </si>
  <si>
    <t>Acıgöl</t>
  </si>
  <si>
    <t>Mehmet Eroğlu</t>
  </si>
  <si>
    <t>Yukarı Mah. Belediye Cad. No:55 Acıgöl / Nevşehir</t>
  </si>
  <si>
    <t>0384 311 20 02</t>
  </si>
  <si>
    <t>info@acigol.bel.tr</t>
  </si>
  <si>
    <t>www.acigol.bel.tr</t>
  </si>
  <si>
    <t>Avanos</t>
  </si>
  <si>
    <t>Mustafa Kenan Sarıtaş</t>
  </si>
  <si>
    <t>Orta Mah. Vatan Cad. No:2 Avanos / Nevşehir</t>
  </si>
  <si>
    <t>0384 511 40 64</t>
  </si>
  <si>
    <t>avanos@avanos.bel.tr</t>
  </si>
  <si>
    <t>www.avanos.bel.tr</t>
  </si>
  <si>
    <t>Derinkuyu</t>
  </si>
  <si>
    <t>Taner İnce</t>
  </si>
  <si>
    <t>Namık Kemal Mah. Atatürk Cad. No:17 Derinkuyu / Nevşehir</t>
  </si>
  <si>
    <t>0384 381 30 03</t>
  </si>
  <si>
    <t>derinkuyubelediyesi@derinkuyu.bel.tr</t>
  </si>
  <si>
    <t>www.derinkuyu.bel.tr</t>
  </si>
  <si>
    <t>Gülşehir</t>
  </si>
  <si>
    <t>Erkan Çiftci</t>
  </si>
  <si>
    <t>Karavezir Mah. Kızılırmak Cad. No:2 Gülşehir / Nevşehir</t>
  </si>
  <si>
    <t>0384 411 30 03</t>
  </si>
  <si>
    <t>gulsehirbelediye@gmail.com</t>
  </si>
  <si>
    <t>www.gulsehir.bel.tr</t>
  </si>
  <si>
    <t>Hacıbektaş</t>
  </si>
  <si>
    <t>Ali Kaim</t>
  </si>
  <si>
    <t>Cemalettin Çelebi Cad. No:01 Hacıbektaş / Nevşehir</t>
  </si>
  <si>
    <t>0384 441 30 17</t>
  </si>
  <si>
    <t>bilgi@hacibektas.bel.tr</t>
  </si>
  <si>
    <t>www.hacibektas.bel.tr</t>
  </si>
  <si>
    <t>Kozaklı</t>
  </si>
  <si>
    <t>Sefer Neslihanoğlu</t>
  </si>
  <si>
    <t>Altunsu Mah. Kayseri Asfaltı No:1 Kozaklı / Nevşehir</t>
  </si>
  <si>
    <t>0384 471 42 93</t>
  </si>
  <si>
    <t>info@kozakli.bel.tr</t>
  </si>
  <si>
    <t>www.kozakli.bel.tr</t>
  </si>
  <si>
    <t>Ürgüp</t>
  </si>
  <si>
    <t>Ali Ertuğrul Bul</t>
  </si>
  <si>
    <t>Cumhuriyet Mah. Atatürk Blv. No:40 Ürgüp / Nevşehir</t>
  </si>
  <si>
    <t>0384 341 40 08</t>
  </si>
  <si>
    <t>info@urgup.bel.tr</t>
  </si>
  <si>
    <t>www.urgup.bel.tr</t>
  </si>
  <si>
    <t>Niğde</t>
  </si>
  <si>
    <t>Emrah Özdemir</t>
  </si>
  <si>
    <t>Yukarıkayabaşı Mahallesi Adliye Sokak No:2, 51100 Niğde</t>
  </si>
  <si>
    <t>444 51 01</t>
  </si>
  <si>
    <t>iletisim@nigde.bel.tr</t>
  </si>
  <si>
    <t>www.nigde.bel.tr</t>
  </si>
  <si>
    <t>Altunhisar</t>
  </si>
  <si>
    <t>Neşet Doygun</t>
  </si>
  <si>
    <t>Orta Mahalle, Mehmet Arıöz Sok. No:5/1, 51600 Altunhisar/Niğde</t>
  </si>
  <si>
    <t>0388 611 23 05</t>
  </si>
  <si>
    <t>www.altunhisar.bel.tr</t>
  </si>
  <si>
    <t>Bor</t>
  </si>
  <si>
    <t>Serkan Baran</t>
  </si>
  <si>
    <t>Sokubaşı Mahallesi, Şeyh Ahmet Kuddusi Cad. No:31, 51700 Bor/Niğde</t>
  </si>
  <si>
    <t>0388 311 71 15</t>
  </si>
  <si>
    <t>bor@bor.bel.tr</t>
  </si>
  <si>
    <t>www.bor.bel.tr</t>
  </si>
  <si>
    <t>Çamardı</t>
  </si>
  <si>
    <t>Ali Pınar</t>
  </si>
  <si>
    <t>Çamardı Belediye Başkanlığı, Çamardı/Niğde</t>
  </si>
  <si>
    <t>0388 711 21 65</t>
  </si>
  <si>
    <t>camardibelediyesi@hotmail.com</t>
  </si>
  <si>
    <t>www.camardi.bel.tr</t>
  </si>
  <si>
    <t>Çiftlik</t>
  </si>
  <si>
    <t>Arif Çakıl</t>
  </si>
  <si>
    <t>Çarşı Mahallesi, Belediye Sk. No:1, 51800 Çiftlik/Niğde</t>
  </si>
  <si>
    <t>0388 411 20 04</t>
  </si>
  <si>
    <t>ciftlikbld@ciftlik.bel.tr</t>
  </si>
  <si>
    <t>www.ciftlik.bel.tr</t>
  </si>
  <si>
    <t>Ulukışla</t>
  </si>
  <si>
    <t>Ali Uğurlu</t>
  </si>
  <si>
    <t>Alpağut Mahallesi İsmet İnönü Caddesi No:33, Ulukışla/Niğde</t>
  </si>
  <si>
    <t>0388 511 21 52</t>
  </si>
  <si>
    <t>www.ulukisla.bel.tr</t>
  </si>
  <si>
    <t>Ordu</t>
  </si>
  <si>
    <t>Akkuş</t>
  </si>
  <si>
    <t>İsa Demirci</t>
  </si>
  <si>
    <t>Merkez Mahallesi Meydan Sokak No:24 Akkuş/Ordu</t>
  </si>
  <si>
    <t>0452 611 20 09</t>
  </si>
  <si>
    <t>akkus@akkus.bel.tr</t>
  </si>
  <si>
    <t>www.akkus.bel.tr</t>
  </si>
  <si>
    <t>Altınordu</t>
  </si>
  <si>
    <t>Ulaş Tepe</t>
  </si>
  <si>
    <t>Yeni Mahalle 321 Nolu Sokak No:1 52200 Altınordu/Ordu</t>
  </si>
  <si>
    <t>444 40 52</t>
  </si>
  <si>
    <t>altinordubelediyesi@altinordu.bel.tr</t>
  </si>
  <si>
    <t>www.altinordu.bel.tr</t>
  </si>
  <si>
    <t>Aybastı</t>
  </si>
  <si>
    <t>Beytullah Geçtan</t>
  </si>
  <si>
    <t>İstiklal Caddesi No:2 Aybastı/Ordu</t>
  </si>
  <si>
    <t>0452 714 11 75</t>
  </si>
  <si>
    <t>bilgi@aybasti.bel.tr</t>
  </si>
  <si>
    <t>www.aybasti.bel.tr</t>
  </si>
  <si>
    <t>Çamaş</t>
  </si>
  <si>
    <t>Leyla Çıtır</t>
  </si>
  <si>
    <t>Taşoluk Mahallesi Bacanakpazarı No:2 Çamaş/Ordu</t>
  </si>
  <si>
    <t>0452 481 24 64</t>
  </si>
  <si>
    <t>www.camas.bel.tr</t>
  </si>
  <si>
    <t>Çatalpınar</t>
  </si>
  <si>
    <t>Ahmet Özay</t>
  </si>
  <si>
    <t>Merkez Mahallesi Çatalpınar Fatsa Yolu Pk:52420 Çatalpınar/Ordu</t>
  </si>
  <si>
    <t>0452 491 20 20</t>
  </si>
  <si>
    <t>bilgi@catalpinar.bel.tr</t>
  </si>
  <si>
    <t>www.catalpinar.bel.tr</t>
  </si>
  <si>
    <t>Çaybaşı</t>
  </si>
  <si>
    <t>Mesut Karayiğit</t>
  </si>
  <si>
    <t>İlküvez Caddesi Çınar Mahallesi No:9 Çaybaşı/Ordu</t>
  </si>
  <si>
    <t>0452 391 30 21</t>
  </si>
  <si>
    <t>caybasibld@caybasi.bel.tr</t>
  </si>
  <si>
    <t>www.caybasi.bel.tr</t>
  </si>
  <si>
    <t>Fatsa</t>
  </si>
  <si>
    <t>İbrahim Etem Kibar</t>
  </si>
  <si>
    <t>Mustafa Kemal Paşa Mahallesi Ata Caddesi No:3/5 52400 Fatsa/Ordu</t>
  </si>
  <si>
    <t>0452 423 63 00</t>
  </si>
  <si>
    <t>fatsa@fatsa.bel.tr</t>
  </si>
  <si>
    <t>www.fatsa.bel.tr</t>
  </si>
  <si>
    <t>Gölköy</t>
  </si>
  <si>
    <t>Fikri Uludağ</t>
  </si>
  <si>
    <t>Kuşluvan Mahallesi Mimar Sinan Caddesi Pk:52600 Gölköy/Ordu</t>
  </si>
  <si>
    <t>0452 741 20 32</t>
  </si>
  <si>
    <t>iletisim@golkoy.bel.tr</t>
  </si>
  <si>
    <t>www.golkoy.bel.tr</t>
  </si>
  <si>
    <t>Gülyalı</t>
  </si>
  <si>
    <t>Medet Sipahi</t>
  </si>
  <si>
    <t>0452 811 20 17</t>
  </si>
  <si>
    <t>www.gulyali.bel.tr</t>
  </si>
  <si>
    <t>Gürgentepe</t>
  </si>
  <si>
    <t>Cemil Çoşkun</t>
  </si>
  <si>
    <t>Akyurt Mahallesi Sağlık Sokak No:8 Gürgentepe/Ordu</t>
  </si>
  <si>
    <t>0452 821 20 64</t>
  </si>
  <si>
    <t>bilgi@gurgentepe.bel.tr</t>
  </si>
  <si>
    <t>www.gurgentepe.bel.tr</t>
  </si>
  <si>
    <t>İkizce</t>
  </si>
  <si>
    <t>Osman Kaygı</t>
  </si>
  <si>
    <t>Merkez Mahallesi Hükümet Caddesi No:4 52320 İkizce/Ordu</t>
  </si>
  <si>
    <t>0452 371 20 04</t>
  </si>
  <si>
    <t>www.ikizce.bel.tr</t>
  </si>
  <si>
    <t>Kabadüz</t>
  </si>
  <si>
    <t>Yener Kaya</t>
  </si>
  <si>
    <t>Cumhuriyet Caddesi Pk:52020 Kabadüz/Ordu</t>
  </si>
  <si>
    <t>0452 841 28 28</t>
  </si>
  <si>
    <t>bilgi@kabaduz.bel.tr</t>
  </si>
  <si>
    <t>www.kabaduz.bel.tr</t>
  </si>
  <si>
    <t>Kabataş</t>
  </si>
  <si>
    <t>Bülent Güney</t>
  </si>
  <si>
    <t>Merkez Mahallesi Belediye Meydanı No:21 52520 Kabataş/Ordu</t>
  </si>
  <si>
    <t>0452 694 40 01</t>
  </si>
  <si>
    <t>www.kabatas.bel.tr</t>
  </si>
  <si>
    <t>Korgan</t>
  </si>
  <si>
    <t>Sait Korgan</t>
  </si>
  <si>
    <t>Tepe Mahallesi Hükümet Sokak No:08 Korgan/Ordu</t>
  </si>
  <si>
    <t>0452 671 21 27</t>
  </si>
  <si>
    <t>www.korgan.bel.tr</t>
  </si>
  <si>
    <t>Kumru</t>
  </si>
  <si>
    <t>Yusuf Yalçuva</t>
  </si>
  <si>
    <t>Samur Mahallesi Atatürk Caddesi No:14 52800 Kumru/Ordu</t>
  </si>
  <si>
    <t>info@kumru.bel.tr</t>
  </si>
  <si>
    <t>www.kumru.bel.tr</t>
  </si>
  <si>
    <t>Mesudiye</t>
  </si>
  <si>
    <t>Cengiz Koçyiğit</t>
  </si>
  <si>
    <t>Merkez Mahallesi Mesudiye/Ordu</t>
  </si>
  <si>
    <t>0452 761 23 34</t>
  </si>
  <si>
    <t>info@mesudiye.bel.tr</t>
  </si>
  <si>
    <t>www.mesudiye.bel.tr</t>
  </si>
  <si>
    <t>Perşembe</t>
  </si>
  <si>
    <t>Cihat Albayrak</t>
  </si>
  <si>
    <t>Kozağzı Cumhuriyet Meydanı No:1 52750 Perşembe/Ordu</t>
  </si>
  <si>
    <t>0452 517 11 03</t>
  </si>
  <si>
    <t>bilgi@persembe.bel.tr</t>
  </si>
  <si>
    <t>www.persembe.bel.tr</t>
  </si>
  <si>
    <t>Ulubey</t>
  </si>
  <si>
    <t>İsa Türkcan</t>
  </si>
  <si>
    <t>0452 861 30 18</t>
  </si>
  <si>
    <t>bilgi@ulubey.bel.tr</t>
  </si>
  <si>
    <t>www.ulubey.bel.tr</t>
  </si>
  <si>
    <t>Ünye</t>
  </si>
  <si>
    <t>Hüseyin Tavlı</t>
  </si>
  <si>
    <t>Kaledere Mahallesi Belediye Caddesi No:3 52300 Ünye/Ordu</t>
  </si>
  <si>
    <t>0452 323 19 41</t>
  </si>
  <si>
    <t>unye@unye.bel.tr</t>
  </si>
  <si>
    <t>www.unye.bel.tr</t>
  </si>
  <si>
    <t>Rize</t>
  </si>
  <si>
    <t>Rahmi METİN</t>
  </si>
  <si>
    <t>Piriçelebi Mahallesi, Menderes Blv. No:182, 53020 Rize Merkez/Rize</t>
  </si>
  <si>
    <t>444 50 53</t>
  </si>
  <si>
    <t>belediye@rize.bel.tr</t>
  </si>
  <si>
    <t>www.rize.bel.tr</t>
  </si>
  <si>
    <t>Ardeşen</t>
  </si>
  <si>
    <t>Enver ATAGÜN</t>
  </si>
  <si>
    <t>Ardeşen Belediye Başkanlığı, Ardeşen/Rize</t>
  </si>
  <si>
    <t>0464 715 16 66</t>
  </si>
  <si>
    <t>bilgi@ardesen.bel.tr</t>
  </si>
  <si>
    <t>ardesen.bel.tr</t>
  </si>
  <si>
    <t>Çamlıhemşin</t>
  </si>
  <si>
    <t>Ömer ALTUN</t>
  </si>
  <si>
    <t>Osman Kurtuluş Cad. Çamlıhemşin / Rize / TÜRKİYE</t>
  </si>
  <si>
    <t>0464 651 70 65</t>
  </si>
  <si>
    <t>info@camlihemsin.bel.tr</t>
  </si>
  <si>
    <t>camlihemsin.bel.tr</t>
  </si>
  <si>
    <t>Çayeli</t>
  </si>
  <si>
    <t>İsmail Hakkı ÇİFTÇİ</t>
  </si>
  <si>
    <t>Yenipazar Mah., 15 Temmuz Şehitler Meydanı, Çayeli Merkez, 53200 Çayeli/Rize</t>
  </si>
  <si>
    <t>0464 532 50 85</t>
  </si>
  <si>
    <t>belediye@cayeli.bel.tr</t>
  </si>
  <si>
    <t>www.cayeli.bel.tr</t>
  </si>
  <si>
    <t>Derepazarı</t>
  </si>
  <si>
    <t>Şaban KALÇA</t>
  </si>
  <si>
    <t>Merkez Mahallesi Sadettin Kaynak Bulvarı No:35 Derepazarı/Rize</t>
  </si>
  <si>
    <t>0464 311 26 77</t>
  </si>
  <si>
    <t>bilgi@derepazari.bel.tr</t>
  </si>
  <si>
    <t>www.derepazari.bel.tr</t>
  </si>
  <si>
    <t>Fındıklı</t>
  </si>
  <si>
    <t>Ercüment Şahin ÇERVATOĞLU</t>
  </si>
  <si>
    <t>Merkez Mahallesi 8. Cadde No:5/A Fındıklı/Rize</t>
  </si>
  <si>
    <t>0464 511 30 10</t>
  </si>
  <si>
    <t>bilgi@findikli.bel.tr</t>
  </si>
  <si>
    <t>findikli.bel.tr</t>
  </si>
  <si>
    <t>Güneysu</t>
  </si>
  <si>
    <t>Rıfat ÖZER</t>
  </si>
  <si>
    <t>Merkez Mahallesi Adnan Menderes Caddesi No:10 P.K 53350 Güneysu/Rize</t>
  </si>
  <si>
    <t>0464 344 11 05</t>
  </si>
  <si>
    <t>iletisim@guneysu.bel.tr</t>
  </si>
  <si>
    <t>www.guneysu.bel.tr</t>
  </si>
  <si>
    <t>Hemşin</t>
  </si>
  <si>
    <t>Halim Kazım BEKAR</t>
  </si>
  <si>
    <t>Ortaköy Mah. Atatürk Cad. No:70 Hemşin Merkez/Rize</t>
  </si>
  <si>
    <t>0464 641 29 90</t>
  </si>
  <si>
    <t>bilgi@hemsin.bel.tr</t>
  </si>
  <si>
    <t>www.hemsin.bel.tr</t>
  </si>
  <si>
    <t>İkizdere</t>
  </si>
  <si>
    <t>Abdi EKŞİ</t>
  </si>
  <si>
    <t>Çarşı Mah. Cumhuriyet Cd No:1 İkizdere/Rize</t>
  </si>
  <si>
    <t>0464 416 11 47</t>
  </si>
  <si>
    <t>bilgi@ikizdere.bel.tr</t>
  </si>
  <si>
    <t>www.ikizdere.bel.tr</t>
  </si>
  <si>
    <t>İyidere</t>
  </si>
  <si>
    <t>Saffet METE</t>
  </si>
  <si>
    <t>Fethiye Mahallesi Yalıboyu Caddesi No:5 PK:53600 İyidere/Rize</t>
  </si>
  <si>
    <t>0464 321 25 65</t>
  </si>
  <si>
    <t>iletisim@iyidere.bel.tr</t>
  </si>
  <si>
    <t>www.iyidere.bel.tr</t>
  </si>
  <si>
    <t>Kalkandere</t>
  </si>
  <si>
    <t>Mehmet YILMAZ</t>
  </si>
  <si>
    <t>Medrese Mah. Rize Caddesi No:19 Belediye Hizmet Binası, 53500 Kalkandere/Rize</t>
  </si>
  <si>
    <t>0464 331 40 15</t>
  </si>
  <si>
    <t>info@kalkandere.bel.tr</t>
  </si>
  <si>
    <t>www.kalkandere.bel.tr</t>
  </si>
  <si>
    <t>Pazar</t>
  </si>
  <si>
    <t>Neşet ÇAKIR</t>
  </si>
  <si>
    <t>Pazar Mah. Demokrasi Meydanı No:9, 53300 Pazar/Rize</t>
  </si>
  <si>
    <t>0464 612 11 30</t>
  </si>
  <si>
    <t>pazar.bel.tr</t>
  </si>
  <si>
    <t>Sakarya</t>
  </si>
  <si>
    <t>Adapazarı</t>
  </si>
  <si>
    <t>Mutlu Işıksu</t>
  </si>
  <si>
    <t>Orta Mahalle Çeşme Meydanı Caddesi No:9 54100 Adapazarı/SAKARYA</t>
  </si>
  <si>
    <t>444 50 54 / 0264 279 91 74</t>
  </si>
  <si>
    <t>adim@adapazari.bel.tr</t>
  </si>
  <si>
    <t>www.adapazari.bel.tr</t>
  </si>
  <si>
    <t>Akyazı</t>
  </si>
  <si>
    <t>Bilal Soykan</t>
  </si>
  <si>
    <t>Gazisüleymanpaşa Mahallesi Ada Caddesi No:1 54400 Akyazı/SAKARYA</t>
  </si>
  <si>
    <t>444 90 54</t>
  </si>
  <si>
    <t>info@akyazi.bel.tr</t>
  </si>
  <si>
    <t>www.akyazi.bel.tr</t>
  </si>
  <si>
    <t>Arifiye</t>
  </si>
  <si>
    <t>İsmail Karakullukçu</t>
  </si>
  <si>
    <t>Fatih Mah. Atatürk Cad. No:269/C 54580 Arifiye/SAKARYA</t>
  </si>
  <si>
    <t>0264 229 10 10</t>
  </si>
  <si>
    <t>bilgi@arifiye.bel.tr</t>
  </si>
  <si>
    <t>www.arifiye.bel.tr</t>
  </si>
  <si>
    <t>Erenler</t>
  </si>
  <si>
    <t>Şenol Dinç</t>
  </si>
  <si>
    <t>Hacıoğlu Mahallesi Sakarbaba Caddesi No:28 ERENLER/SAKARYA</t>
  </si>
  <si>
    <t>0264 242 05 34</t>
  </si>
  <si>
    <t>info@erenler.bel.tr</t>
  </si>
  <si>
    <t>www.erenler.bel.tr</t>
  </si>
  <si>
    <t>Ferizli</t>
  </si>
  <si>
    <t>Mehmet Ata</t>
  </si>
  <si>
    <t>İnönü Mahallesi Fevzi Çakmak Cad. No:26 54110 Ferizli/SAKARYA</t>
  </si>
  <si>
    <t>0264 781 70 11</t>
  </si>
  <si>
    <t>info@ferizli.bel.tr</t>
  </si>
  <si>
    <t>www.ferizli.bel.tr</t>
  </si>
  <si>
    <t>Geyve</t>
  </si>
  <si>
    <t>Selçuk Yıldız</t>
  </si>
  <si>
    <t>Camikebir Mahallesi Cumhuriyet Meydanı Geyve/SAKARYA</t>
  </si>
  <si>
    <t>0264 517 52 40</t>
  </si>
  <si>
    <t>iletisim@geyve.bel.tr</t>
  </si>
  <si>
    <t>www.geyve.bel.tr</t>
  </si>
  <si>
    <t>Hendek</t>
  </si>
  <si>
    <t>İrfan Püsküllü</t>
  </si>
  <si>
    <t>Cumhuriyet Alanı Hendek Belediyesi Binası Hendek/SAKARYA</t>
  </si>
  <si>
    <t>0264 614 61 52</t>
  </si>
  <si>
    <t>basin@hendek.bel.tr</t>
  </si>
  <si>
    <t>www.hendek.bel.tr</t>
  </si>
  <si>
    <t>Karapürçek</t>
  </si>
  <si>
    <t>Mehmet Murat Çoruhlu</t>
  </si>
  <si>
    <t>İnönü Mahallesi Meydan Sk. No:4 54430 Karapürçek/SAKARYA</t>
  </si>
  <si>
    <t>0264 471 50 10</t>
  </si>
  <si>
    <t>www.karapurcek.bel.tr</t>
  </si>
  <si>
    <t>Karasu</t>
  </si>
  <si>
    <t>İshak Sarı</t>
  </si>
  <si>
    <t>İncilli Mah. Cumhuriyet Cad. No:11 KARASU/SAKARYA</t>
  </si>
  <si>
    <t>0264 718 12 00</t>
  </si>
  <si>
    <t>www.karasu.bel.tr</t>
  </si>
  <si>
    <t>Kaynarca</t>
  </si>
  <si>
    <t>Kadir Yazgan</t>
  </si>
  <si>
    <t>Orta Mahalle Hüsnü Aydın Caddesi Kaynarca Kültür Merkezi Kaynarca/SAKARYA</t>
  </si>
  <si>
    <t>0264 871 20 96</t>
  </si>
  <si>
    <t>sakaryakaynarca.bel.tr</t>
  </si>
  <si>
    <t>Kocaali</t>
  </si>
  <si>
    <t>Ahmet Acar</t>
  </si>
  <si>
    <t>Ağalar Mahallesi 15 Temmuz Zafer Meydanı Kocaali/SAKARYA</t>
  </si>
  <si>
    <t>0264 812 11 01</t>
  </si>
  <si>
    <t>bilgi@kocaali.bel.tr</t>
  </si>
  <si>
    <t>www.kocaali.bel.tr</t>
  </si>
  <si>
    <t>Pamukova</t>
  </si>
  <si>
    <t>Fatih Akın</t>
  </si>
  <si>
    <t>Elperek Ankara Cad. No:88 Pamukova/SAKARYA</t>
  </si>
  <si>
    <t>0264 551 34 14</t>
  </si>
  <si>
    <t>bilgi@pamukova.bel.tr</t>
  </si>
  <si>
    <t>www.pamukova.bel.tr</t>
  </si>
  <si>
    <t>Sapanca</t>
  </si>
  <si>
    <t>Nihat Arda Şahin</t>
  </si>
  <si>
    <t>Rüstempaşa Mh. Mimar Sinan Cad. No:12 Belediye Başkanlığı Binası Sapanca/SAKARYA</t>
  </si>
  <si>
    <t>0850 224 54 54</t>
  </si>
  <si>
    <t>ebelediye@sapanca.bel.tr</t>
  </si>
  <si>
    <t>www.sapanca.bel.tr</t>
  </si>
  <si>
    <t>Serdivan</t>
  </si>
  <si>
    <t>Osman Çelik</t>
  </si>
  <si>
    <t>Arabacıalanı Mah. No:328 Serdivan/SAKARYA</t>
  </si>
  <si>
    <t>444 54 50</t>
  </si>
  <si>
    <t>info@serdivan.bel.tr</t>
  </si>
  <si>
    <t>www.serdivan.bel.tr</t>
  </si>
  <si>
    <t>Söğütlü</t>
  </si>
  <si>
    <t>Selçuk Kurt</t>
  </si>
  <si>
    <t>Orta Mah. Atatürk Cad. No:525 Söğütlü/SAKARYA</t>
  </si>
  <si>
    <t>0264 681 24 82</t>
  </si>
  <si>
    <t>www.sogutlu.bel.tr</t>
  </si>
  <si>
    <t>Taraklı</t>
  </si>
  <si>
    <t>İbrahim Pilavcı</t>
  </si>
  <si>
    <t>Hacı Murat Mahallesi Cumhuriyet Meydanı Taraklı/SAKARYA</t>
  </si>
  <si>
    <t>0264 491 20 15</t>
  </si>
  <si>
    <t>info@tarakli.bel.tr</t>
  </si>
  <si>
    <t>www.tarakli.bel.tr</t>
  </si>
  <si>
    <t>Samsun</t>
  </si>
  <si>
    <t>Alaçam</t>
  </si>
  <si>
    <t>Ramazan Özdemir</t>
  </si>
  <si>
    <t>Yenicami Mah. Bafra Cad. Pk:55800 Alaçam/SAMSUN</t>
  </si>
  <si>
    <t>0(362) 622 00 02</t>
  </si>
  <si>
    <t>alacam@alacam.bel.tr</t>
  </si>
  <si>
    <t>www.alacam.bel.tr</t>
  </si>
  <si>
    <t>Asarcık</t>
  </si>
  <si>
    <t>Şerif Kılağuz</t>
  </si>
  <si>
    <t>Biçincik, Cumhuriyet Meydanı No:45, 55860 Asarcık/Samsun</t>
  </si>
  <si>
    <t>0(362) 791 22 36</t>
  </si>
  <si>
    <t>baskan@asarcik.bel.tr</t>
  </si>
  <si>
    <t>www.asarcik.bel.tr</t>
  </si>
  <si>
    <t>Atakum</t>
  </si>
  <si>
    <t>Serhat Türkel</t>
  </si>
  <si>
    <t>Mimarsinan Mah. İsmet İnönü Blv. No:114, 55200 Atakum/Samsun</t>
  </si>
  <si>
    <t>444 40 55</t>
  </si>
  <si>
    <t>bilgi@atakum.bel.tr</t>
  </si>
  <si>
    <t>www.atakum.bel.tr</t>
  </si>
  <si>
    <t>Refahittin Şencan</t>
  </si>
  <si>
    <t>Eyüp Sultan Mah. Atatürk Blv. No:76 Ayvacık/SAMSUN</t>
  </si>
  <si>
    <t>0(362) 813 20 22</t>
  </si>
  <si>
    <t>info@ayvacik.bel.tr</t>
  </si>
  <si>
    <t>www.ayvacik.bel.tr</t>
  </si>
  <si>
    <t>Bafra</t>
  </si>
  <si>
    <t>Hamit Kılıç</t>
  </si>
  <si>
    <t>Büyükcami Mah. Cami Kebir Cad. No:1 Bafra/SAMSUN</t>
  </si>
  <si>
    <t>0(362) 543 23 20</t>
  </si>
  <si>
    <t>bilgi@bafra.bel.tr</t>
  </si>
  <si>
    <t>www.bafra.bel.tr</t>
  </si>
  <si>
    <t>Canik</t>
  </si>
  <si>
    <t>İbrahim Sandıkçı</t>
  </si>
  <si>
    <t>Karşıyaka Mah. İlkbahar Sok. Canik/SAMSUN</t>
  </si>
  <si>
    <t>444 55 90</t>
  </si>
  <si>
    <t>bilgi@canik.bel.tr</t>
  </si>
  <si>
    <t>www.canik.bel.tr</t>
  </si>
  <si>
    <t>Çarşamba</t>
  </si>
  <si>
    <t>Hüseyin Dündar</t>
  </si>
  <si>
    <t>Orta Mah. PK:55500 Çarşamba/SAMSUN</t>
  </si>
  <si>
    <t>0(362) 833 46 84</t>
  </si>
  <si>
    <t>belediye@carsamba.bel.tr</t>
  </si>
  <si>
    <t>www.carsamba.bel.tr</t>
  </si>
  <si>
    <t>Havza</t>
  </si>
  <si>
    <t>Murat İkiz</t>
  </si>
  <si>
    <t>25 Mayıs Mah. Belediye Sok. No:7 Havza/SAMSUN</t>
  </si>
  <si>
    <t>0(362) 714 20 34</t>
  </si>
  <si>
    <t>info@havza.bel.tr</t>
  </si>
  <si>
    <t>www.havza.bel.tr</t>
  </si>
  <si>
    <t>İlkadım</t>
  </si>
  <si>
    <t>İhsan Kurnaz</t>
  </si>
  <si>
    <t>100. Yıl Bulvarı İlkadım/SAMSUN</t>
  </si>
  <si>
    <t>444 55 01</t>
  </si>
  <si>
    <t>belediye@ilkadim.bel.tr</t>
  </si>
  <si>
    <t>www.ilkadim.bel.tr</t>
  </si>
  <si>
    <t>Kavak</t>
  </si>
  <si>
    <t>Şerif Ün</t>
  </si>
  <si>
    <t>Mehmet Paşa Mah. Belediye Sok. No:1 Kavak/SAMSUN</t>
  </si>
  <si>
    <t>0(362) 741 33 12</t>
  </si>
  <si>
    <t>cozummerkezi@samsunkavak.bel.tr</t>
  </si>
  <si>
    <t>www.samsunkavak.bel.tr</t>
  </si>
  <si>
    <t>Ladik</t>
  </si>
  <si>
    <t>Adnan Topal</t>
  </si>
  <si>
    <t>Koğa Mah. Tayyar Mehmet Paşa Sk. No:6, 55760 Ladik/SAMSUN</t>
  </si>
  <si>
    <t>0(362) 771 30 30</t>
  </si>
  <si>
    <t>info@ladik.bel.tr</t>
  </si>
  <si>
    <t>www.ladik.bel.tr</t>
  </si>
  <si>
    <t>Ondokuzmayıs</t>
  </si>
  <si>
    <t>Osman Topaloğlu</t>
  </si>
  <si>
    <t>Pazar Mah. Fatih Cad. No:26 Ondokuzmayıs/Samsun</t>
  </si>
  <si>
    <t>0(362) 511 44 88</t>
  </si>
  <si>
    <t>info@19mayis.bel.tr</t>
  </si>
  <si>
    <t>www.19mayis.bel.tr</t>
  </si>
  <si>
    <t>Salıpazarı</t>
  </si>
  <si>
    <t>Refaettin Karaca</t>
  </si>
  <si>
    <t>Cumhuriyet Meydanı Salıpazarı/SAMSUN</t>
  </si>
  <si>
    <t>0(362) 821 20 19</t>
  </si>
  <si>
    <t>bilgi@salipazari.bel.tr</t>
  </si>
  <si>
    <t>www.salipazari.bel.tr</t>
  </si>
  <si>
    <t>Tekkeköy</t>
  </si>
  <si>
    <t>Mustafa Candal</t>
  </si>
  <si>
    <t>19 Mayıs Mah. Atatürk Blv. No:342, 55300 Tekkeköy/Samsun</t>
  </si>
  <si>
    <t>0(362) 256 03 24</t>
  </si>
  <si>
    <t>info@tekkekoy.bel.tr</t>
  </si>
  <si>
    <t>www.tekkekoy.bel.tr</t>
  </si>
  <si>
    <t>Terme</t>
  </si>
  <si>
    <t>Şenol Kul</t>
  </si>
  <si>
    <t>Cumhuriyet Meydanı, 55600 Terme/SAMSUN</t>
  </si>
  <si>
    <t>444 82 55</t>
  </si>
  <si>
    <t>info@terme.bel.tr</t>
  </si>
  <si>
    <t>www.terme.bel.tr</t>
  </si>
  <si>
    <t>Vezirköprü</t>
  </si>
  <si>
    <t>Murat Gül</t>
  </si>
  <si>
    <t>Mehmet Paşa Mah. Köprülüler Cd. No:38, 55900 Vezirköprü/Samsun</t>
  </si>
  <si>
    <t>0(362) 647 17 31</t>
  </si>
  <si>
    <t>bilgi@vezirkopru.bel.tr</t>
  </si>
  <si>
    <t>www.vezirkopru.bel.tr</t>
  </si>
  <si>
    <t>Yakakent</t>
  </si>
  <si>
    <t>Şerafettin Aydoğdu</t>
  </si>
  <si>
    <t>Cumhuriyet Meydanı Hükümet Konağı No:1/1, PK:55810 Yakakent/SAMSUN</t>
  </si>
  <si>
    <t>0(362) 611 21 04</t>
  </si>
  <si>
    <t>belediye@yakakent.bel.tr</t>
  </si>
  <si>
    <t>www.yakakent.bel.tr</t>
  </si>
  <si>
    <t>Şanlıurfa</t>
  </si>
  <si>
    <t>Akçakale</t>
  </si>
  <si>
    <t>Abdülhakim Ayhan</t>
  </si>
  <si>
    <t>Fatih Sultan Mehmet Mahallesi, Abdullah Gül Bulvarı No:65, Akçakale/Şanlıurfa</t>
  </si>
  <si>
    <t>0 (414) 411 30 30</t>
  </si>
  <si>
    <t>ozelkalem@akcakale.bel.tr</t>
  </si>
  <si>
    <t>www.akcakale.bel.tr</t>
  </si>
  <si>
    <t>Birecik</t>
  </si>
  <si>
    <t>Mehmet Begit</t>
  </si>
  <si>
    <t>Merkez Mahallesi, Adnan Menderes Bulvarı No:30, Birecik/Şanlıurfa</t>
  </si>
  <si>
    <t>0 (414) 652 10 07</t>
  </si>
  <si>
    <t>iletisim@birecik.bel.tr</t>
  </si>
  <si>
    <t>www.birecik.bel.tr</t>
  </si>
  <si>
    <t>Bozova</t>
  </si>
  <si>
    <t>Suphi Aksoy</t>
  </si>
  <si>
    <t>Gölbaşı Mahallesi, Hastane Caddesi, 63850, Bozova/Şanlıurfa</t>
  </si>
  <si>
    <t>0 (414) 711 50 12</t>
  </si>
  <si>
    <t>bozova@bozova.bel.tr</t>
  </si>
  <si>
    <t>www.bozova.bel.tr</t>
  </si>
  <si>
    <t>Ceylanpınar</t>
  </si>
  <si>
    <t>Av. Uğur Kahraman / Dilan Ablay Saldanlı (Eş Başkanlar)</t>
  </si>
  <si>
    <t>Bahçelievler Mahallesi, Şehit Polis Memuru Okan Acar Caddesi No:14, Ceylanpınar/Şanlıurfa</t>
  </si>
  <si>
    <t>0 (414) 471 40 05</t>
  </si>
  <si>
    <t>info@ceylanpinar.bel.tr</t>
  </si>
  <si>
    <t>www.ceylanpinar.bel.tr</t>
  </si>
  <si>
    <t>Eyyübiye</t>
  </si>
  <si>
    <t>Mehmet Kuş</t>
  </si>
  <si>
    <t>Asya Mahallesi, 5191. Sokak No:3 (Şanlıurfa Eğitim ve Araştırma Hastanesi Yanı), 63200, Eyyübiye/Şanlıurfa</t>
  </si>
  <si>
    <t>0 (414) 315 14 15</t>
  </si>
  <si>
    <t>ozel.kalem@eyyubiye.bel.tr</t>
  </si>
  <si>
    <t>www.eyyubiye.bel.tr</t>
  </si>
  <si>
    <t>Halfeti</t>
  </si>
  <si>
    <t>Hakan Başoğlu (Belediye Başkan Vekili - Kayyum)</t>
  </si>
  <si>
    <t>Siyahgül Mahallesi, Belediye Caddesi No:16, Halfeti/Şanlıurfa</t>
  </si>
  <si>
    <t>0 (414) 751 14 48</t>
  </si>
  <si>
    <t>info@halfeti.bel.tr</t>
  </si>
  <si>
    <t>www.halfeti.bel.tr</t>
  </si>
  <si>
    <t>Haliliye</t>
  </si>
  <si>
    <t>Mehmet Canpolat</t>
  </si>
  <si>
    <t>Esentepe Mahallesi, Necmettin Cevheri Bulvarı (AK Parti İl Başkanlığı karşısı), Haliliye/Şanlıurfa</t>
  </si>
  <si>
    <t>0 (414) 313 34 43</t>
  </si>
  <si>
    <t>haliliye@haliliye.bel.tr</t>
  </si>
  <si>
    <t>www.haliliye.bel.tr</t>
  </si>
  <si>
    <t>Harran</t>
  </si>
  <si>
    <t>Mahmut Özyavuz</t>
  </si>
  <si>
    <t>Cumhuriyet Mahallesi, Necmettin Cevheri Caddesi No:5, Harran/Şanlıurfa</t>
  </si>
  <si>
    <t>0 (414) 441 20 75</t>
  </si>
  <si>
    <t>harranbelediyesi63510@gmail.com</t>
  </si>
  <si>
    <t>www.harran.bel.tr</t>
  </si>
  <si>
    <t>Hilvan</t>
  </si>
  <si>
    <t>Serhan Paydaş / Garip Yeşil (Eş Başkanlar)</t>
  </si>
  <si>
    <t>Bağlar Mahallesi, İzollu Bozan Bey Caddesi No:20, 63900, Hilvan/Şanlıurfa</t>
  </si>
  <si>
    <t>0 (414) 681 20 07</t>
  </si>
  <si>
    <t>www.hilvan.bel.tr</t>
  </si>
  <si>
    <t>Siverek</t>
  </si>
  <si>
    <t>Ayşe Çakmak</t>
  </si>
  <si>
    <t>Cami Kebir Mahallesi, 17. Sokak No:3, 63600, Siverek/Şanlıurfa</t>
  </si>
  <si>
    <t>0 (414) 552 12 00</t>
  </si>
  <si>
    <t>bilgi@siverek.bel.tr</t>
  </si>
  <si>
    <t>www.siverek.bel.tr</t>
  </si>
  <si>
    <t>Suruç</t>
  </si>
  <si>
    <t>Ayten Kaya / Müslüm Baran (Eş Başkanlar)</t>
  </si>
  <si>
    <t>Dikili Mahallesi, 63800, Suruç/Şanlıurfa</t>
  </si>
  <si>
    <t>0 (414) 611 33 90</t>
  </si>
  <si>
    <t>bilgi@suruc.bel.tr</t>
  </si>
  <si>
    <t>www.suruc.bel.tr</t>
  </si>
  <si>
    <t>Viranşehir</t>
  </si>
  <si>
    <t>Salih Ekinci</t>
  </si>
  <si>
    <t>Kışla Mahallesi, Ticaret Caddesi, Belediye Sarayı No:1, Viranşehir/Şanlıurfa</t>
  </si>
  <si>
    <t>0 (414) 511 30 81</t>
  </si>
  <si>
    <t>info@viransehir.bel.tr</t>
  </si>
  <si>
    <t>www.viransehir.bel.tr</t>
  </si>
  <si>
    <t>Sivas</t>
  </si>
  <si>
    <t>Suşehri</t>
  </si>
  <si>
    <t>Ahmet Ayhan Kayaoğlu</t>
  </si>
  <si>
    <t>Taşköprü Mah. 1. Gökkuşağı Sok. No:6 Suşehri/Sivas</t>
  </si>
  <si>
    <t>0346 311 44 60</t>
  </si>
  <si>
    <t>www.susehri.bel.tr</t>
  </si>
  <si>
    <t>Şarkışla</t>
  </si>
  <si>
    <t>Kasım Gültekin</t>
  </si>
  <si>
    <t>Kayalıyokuş Mah. Cumhuriyet Cad. Belediye İş Merkezi No:1 Şarkışla/Sivas</t>
  </si>
  <si>
    <t>0(346) 512 10 17</t>
  </si>
  <si>
    <t>info@sarkisla.bel.tr</t>
  </si>
  <si>
    <t>sarkisla.bel.tr</t>
  </si>
  <si>
    <t>Ulaş</t>
  </si>
  <si>
    <t>Turan İlbey</t>
  </si>
  <si>
    <t>Hürriyet Mah. Göl Sok. No:1 Ulaş/Sivas</t>
  </si>
  <si>
    <t>bilgi@ulas.bel.tr</t>
  </si>
  <si>
    <t>www.ulas.bel.tr</t>
  </si>
  <si>
    <t>Yıldızeli</t>
  </si>
  <si>
    <t>Yaşar Göktaş</t>
  </si>
  <si>
    <t>Atatürk Cad. No:3 58500 Yıldızeli/Sivas</t>
  </si>
  <si>
    <t>0(346) 751 28 87</t>
  </si>
  <si>
    <t>info@yildizeli.bel.tr</t>
  </si>
  <si>
    <t>www.yildizeli.bel.tr</t>
  </si>
  <si>
    <t>Zara</t>
  </si>
  <si>
    <t>Fatih Çelik</t>
  </si>
  <si>
    <t>Kızılırmak Mah. Emniyet Sok. Reşit Paşa Cad. No:1 Zara/Sivas</t>
  </si>
  <si>
    <t>zara@zara.bel.tr</t>
  </si>
  <si>
    <t>www.zara.bel.tr</t>
  </si>
  <si>
    <t>Tekirdağ</t>
  </si>
  <si>
    <t>Süleymanpaşa</t>
  </si>
  <si>
    <t>Volkan NALLAR</t>
  </si>
  <si>
    <t>Ortacami Mah. Hükümet Cad. No:14 Süleymanpaşa / TEKİRDAĞ</t>
  </si>
  <si>
    <t>0 (282) 259 59 59</t>
  </si>
  <si>
    <t>ozelkalem@suleymanpasa.bel.tr</t>
  </si>
  <si>
    <t>suleymanpasa.bel.tr</t>
  </si>
  <si>
    <t>Çerkezköy</t>
  </si>
  <si>
    <t>Vahap AKAY</t>
  </si>
  <si>
    <t>Gazi Mustafa Kemal Paşa Mahallesi Atatürk Caddesi No: 40 Çerkezköy / Tekirdağ</t>
  </si>
  <si>
    <t>444 8 859</t>
  </si>
  <si>
    <t>cerkezkoyiletisimmerkezi@cerkezkoy.bel.tr</t>
  </si>
  <si>
    <t>cerkezkoy.bel.tr</t>
  </si>
  <si>
    <t>Çorlu</t>
  </si>
  <si>
    <t>Ahmet SARIKURT</t>
  </si>
  <si>
    <t>Reşadiye Mahallesi Salih Omurtak Caddesi No:139 Çorlu / Tekirdağ</t>
  </si>
  <si>
    <t>444 99 59</t>
  </si>
  <si>
    <t>info@corlu.bel.tr</t>
  </si>
  <si>
    <t>corlu.bel.tr</t>
  </si>
  <si>
    <t>Ergene</t>
  </si>
  <si>
    <t>Müge YILDIZ TOPAK</t>
  </si>
  <si>
    <t>Ulaş Mahallesi Atatürk Bulvarı No: 84 Ergene / Tekirdağ</t>
  </si>
  <si>
    <t>444 59 43</t>
  </si>
  <si>
    <t>info@ergene.bel.tr</t>
  </si>
  <si>
    <t>ergene.bel.tr</t>
  </si>
  <si>
    <t>Hayrabolu</t>
  </si>
  <si>
    <t>Tuncer BAŞOĞLU</t>
  </si>
  <si>
    <t>İlyas Mahallesi Uzunköprü Caddesi No: 2 Hayrabolu / TEKİRDAĞ</t>
  </si>
  <si>
    <t>0282 315 10 49</t>
  </si>
  <si>
    <t>hayrabolu@hayrabolu.bel.tr</t>
  </si>
  <si>
    <t>hayrabolu.bel.tr</t>
  </si>
  <si>
    <t>Kapaklı</t>
  </si>
  <si>
    <t>Mustafa ÇETİN</t>
  </si>
  <si>
    <t>İnönü Mahallesi Eski Cami Caddesi No: 4-6 Kapaklı / TEKİRDAĞ</t>
  </si>
  <si>
    <t>444 80 59</t>
  </si>
  <si>
    <t>kapakli.bel.tr</t>
  </si>
  <si>
    <t>Malkara</t>
  </si>
  <si>
    <t>Ulaş YURDAKUL</t>
  </si>
  <si>
    <t>Hacıevhat Mahallesi Belediye Arkası Sokak No:1/1 59300 Malkara / Tekirdağ</t>
  </si>
  <si>
    <t>444 59 42</t>
  </si>
  <si>
    <t>malkara.bel.tr</t>
  </si>
  <si>
    <t>Marmaraereğlisi</t>
  </si>
  <si>
    <t>Mustafa Onur BOZKURTER</t>
  </si>
  <si>
    <t>Cedid Ali Paşa Mahallesi Perinthos Caddesi No: 51 Marmaraereğlisi / Tekirdağ</t>
  </si>
  <si>
    <t>(0850) 440 09 59</t>
  </si>
  <si>
    <t>info@marmaraereglisi.bel.tr</t>
  </si>
  <si>
    <t>marmaraereglisi.bel.tr</t>
  </si>
  <si>
    <t>Muratlı</t>
  </si>
  <si>
    <t>Varol TÜREL</t>
  </si>
  <si>
    <t>Muradiye Mahallesi 100. Yıl Caddesi No:85 Muratlı / Tekirdağ</t>
  </si>
  <si>
    <t>0 282 361 24 36</t>
  </si>
  <si>
    <t>info@muratli.bel.tr</t>
  </si>
  <si>
    <t>muratli.bel.tr</t>
  </si>
  <si>
    <t>Saray</t>
  </si>
  <si>
    <t>Abdül TAŞYASAN</t>
  </si>
  <si>
    <t>Ayaspaşa Mahallesi Ayaspaşa/26 Sokak No:7 Saray Belediye Başkanlığı 59600 Saray / Tekirdağ</t>
  </si>
  <si>
    <t>0 (282) 768 10 05</t>
  </si>
  <si>
    <t>iletisim@saray.bel.tr</t>
  </si>
  <si>
    <t>saray.bel.tr</t>
  </si>
  <si>
    <t>Şarköy</t>
  </si>
  <si>
    <t>Alpay VAR</t>
  </si>
  <si>
    <t>İstiklal Mahallesi İsmail Hakkı Özgen Caddesi No: 17 Şarköy / TEKİRDAĞ</t>
  </si>
  <si>
    <t>0850 860 10 59</t>
  </si>
  <si>
    <t>bilgi@sarkoy.bel.tr</t>
  </si>
  <si>
    <t>sarkoy.bel.tr</t>
  </si>
  <si>
    <t>Tokat</t>
  </si>
  <si>
    <t>Mehmet Kemal Yazıcıoğlu</t>
  </si>
  <si>
    <t>Alipaşa Mah., Gaziosmanpaşa Blv. No:184, 60100 Merkez/Tokat</t>
  </si>
  <si>
    <t>(0356) 214 22 20</t>
  </si>
  <si>
    <t>beyazmasa@tokat.bel.tr</t>
  </si>
  <si>
    <t>https://tokat.bel.tr</t>
  </si>
  <si>
    <t>Almus</t>
  </si>
  <si>
    <t>Bekir Özer</t>
  </si>
  <si>
    <t>İstiklal Mah., Hacıbektaş Sk. No:13, 60900 Almus/Tokat</t>
  </si>
  <si>
    <t>(0356) 411 31 29</t>
  </si>
  <si>
    <t>https://almus.bel.tr</t>
  </si>
  <si>
    <t>Artova</t>
  </si>
  <si>
    <t>Ali Güner</t>
  </si>
  <si>
    <t>Alpaslan Mah. Atatürk Cad. No:42, 60670 Artova/Tokat</t>
  </si>
  <si>
    <t>(0356) 611 20 11</t>
  </si>
  <si>
    <t>https://www.artova.bel.tr</t>
  </si>
  <si>
    <t>Başçiftlik</t>
  </si>
  <si>
    <t>Adem Yılmaz</t>
  </si>
  <si>
    <t>Sinanpaşa Mah. 15 Temmuz Şehitler Meydanı No:33, Başçiftlik/Tokat</t>
  </si>
  <si>
    <t>(0356) 451 20 01</t>
  </si>
  <si>
    <t>https://www.basciftlik.bel.tr</t>
  </si>
  <si>
    <t>Erbaa</t>
  </si>
  <si>
    <t>Ertuğrul Karagöl</t>
  </si>
  <si>
    <t>Cumhuriyet Mah. İstiklal Cad. No:86, 60500 Erbaa/Tokat</t>
  </si>
  <si>
    <t>(0356) 715 86 86</t>
  </si>
  <si>
    <t>erbaa@erbaa.bel.tr</t>
  </si>
  <si>
    <t>https://www.erbaa.bel.tr</t>
  </si>
  <si>
    <t>Niksar</t>
  </si>
  <si>
    <t>Semih Tepebaşı</t>
  </si>
  <si>
    <t>Yusufşah Mah. Fatih Sultan Mehmet Cd. No:151, 60600 Niksar/Tokat</t>
  </si>
  <si>
    <t>(0850) 633 06 60</t>
  </si>
  <si>
    <t>info@niksar.bel.tr</t>
  </si>
  <si>
    <t>https://www.niksar.bel.tr</t>
  </si>
  <si>
    <t>Şerafettin Pervanlar</t>
  </si>
  <si>
    <t>Atatürk Cad. No:3, Pazar/Tokat</t>
  </si>
  <si>
    <t>(0356) 261 20 15</t>
  </si>
  <si>
    <t>bilgi@tokatpazar.bel.tr</t>
  </si>
  <si>
    <t>https://www.tokatpazar.bel.tr</t>
  </si>
  <si>
    <t>Reşadiye</t>
  </si>
  <si>
    <t>Ergül Ünal</t>
  </si>
  <si>
    <t>Kurtuluş Mah. Atatürk Cad. No:4, 60700 Reşadiye/Tokat</t>
  </si>
  <si>
    <t>(0356) 461 30 28</t>
  </si>
  <si>
    <t>iletisim@resadiye.bel.tr</t>
  </si>
  <si>
    <t>https://resadiye.bel.tr</t>
  </si>
  <si>
    <t>Sulusaray</t>
  </si>
  <si>
    <t>Davut Kılıç</t>
  </si>
  <si>
    <t>Gaziosmanpaşa Mah., Sulusaray Yeşilyurt Yolu, 60870 Sulusaray/Tokat</t>
  </si>
  <si>
    <t>(0356) 651 60 80</t>
  </si>
  <si>
    <t>yaziisleri@tokatsulusaray.bel.tr</t>
  </si>
  <si>
    <t>https://tokatsulusaray.bel.tr</t>
  </si>
  <si>
    <t>Turhal</t>
  </si>
  <si>
    <t>Mehmet Erdem Ural</t>
  </si>
  <si>
    <t>Celal Mah. Cumhuriyet Cad. No:1, Turhal/Tokat</t>
  </si>
  <si>
    <t>(0356) 275 10 31</t>
  </si>
  <si>
    <t>https://www.turhal.bel.tr</t>
  </si>
  <si>
    <t>Muhsin Yılmaz</t>
  </si>
  <si>
    <t>(0356) 631 21 69</t>
  </si>
  <si>
    <t>https://tokatyesilyurt.bel.tr</t>
  </si>
  <si>
    <t>Zile</t>
  </si>
  <si>
    <t>Şükrü Sargın</t>
  </si>
  <si>
    <t>Dutlupınar Mah. Amasya Cad. No:1, Zile/Tokat</t>
  </si>
  <si>
    <t>(0356) 317 50 80</t>
  </si>
  <si>
    <t>zilebelediyesi@zile.bel.tr</t>
  </si>
  <si>
    <t>https://site.zile.bel.tr</t>
  </si>
  <si>
    <t>Trabzon</t>
  </si>
  <si>
    <t>Ahmet Metin Genç</t>
  </si>
  <si>
    <t>Gülbaharhatun Mahallesi Kahramanmaraş Caddesi No:159 TRABZON</t>
  </si>
  <si>
    <t>info@trabzon.bel.tr</t>
  </si>
  <si>
    <t>www.trabzon.bel.tr</t>
  </si>
  <si>
    <t>Akçaabat</t>
  </si>
  <si>
    <t>Osman Nuri Ekim</t>
  </si>
  <si>
    <t>Dürbinar Mahallesi Atatürk Bulvarı No:23 P.K:61300 Akçaabat/TRABZON</t>
  </si>
  <si>
    <t>444 9 610</t>
  </si>
  <si>
    <t>akcaabat@akcaabat.bel.tr</t>
  </si>
  <si>
    <t>www.akcaabat.bel.tr</t>
  </si>
  <si>
    <t>Araklı</t>
  </si>
  <si>
    <t>Hüseyin Avni Çoşkun Çebi</t>
  </si>
  <si>
    <t>Merkez Mahallesi Trabzon Caddesi No: 27/B Araklı/TRABZON</t>
  </si>
  <si>
    <t>araklibelediyesi@arakli.bel.tr</t>
  </si>
  <si>
    <t>arakli.bel.tr</t>
  </si>
  <si>
    <t>Arsin</t>
  </si>
  <si>
    <t>Hamza Bilgin</t>
  </si>
  <si>
    <t>Yalı Mah. Şehit Asteğmen Halil Albayrak Cad. No:52 Arsin/TRABZON</t>
  </si>
  <si>
    <t>0 (462) 711 30 25</t>
  </si>
  <si>
    <t>webadmin@arsin.bel.tr</t>
  </si>
  <si>
    <t>www.arsin.bel.tr</t>
  </si>
  <si>
    <t>Beşikdüzü</t>
  </si>
  <si>
    <t>Burhan Cahit Erdem</t>
  </si>
  <si>
    <t>Cumhuriyet Mah. Ziraat Bankası Cad. No:17 Beşikdüzü/TRABZON</t>
  </si>
  <si>
    <t>belediye@besikduzu.bel.tr</t>
  </si>
  <si>
    <t>besikduzu.bel.tr</t>
  </si>
  <si>
    <t>Çarşıbaşı</t>
  </si>
  <si>
    <t>Ahmet Keleş</t>
  </si>
  <si>
    <t>Cumhuriyet Meydanı No:1 Çarşıbaşı/TRABZON</t>
  </si>
  <si>
    <t>0462 821 30 04</t>
  </si>
  <si>
    <t>bilgi@carsibasi.bel.tr</t>
  </si>
  <si>
    <t>www.carsibasi.bel.tr</t>
  </si>
  <si>
    <t>Çaykara</t>
  </si>
  <si>
    <t>Hanefi Tok</t>
  </si>
  <si>
    <t>Işıklı Mahallesi Belediye Sok. No:12 D:2 PK:61940 Çaykara/TRABZON</t>
  </si>
  <si>
    <t>0 (462) 616 10 29</t>
  </si>
  <si>
    <t>info@caykara.bel.tr</t>
  </si>
  <si>
    <t>www.caykara.bel.tr</t>
  </si>
  <si>
    <t>Dernekpazarı</t>
  </si>
  <si>
    <t>Mehmet Aşık</t>
  </si>
  <si>
    <t>Merkez Mahallesi Belediye Cad. No:15 Dernekpazarı/TRABZON</t>
  </si>
  <si>
    <t>0462 681 20 09</t>
  </si>
  <si>
    <t>www.dernekpazari.bel.tr</t>
  </si>
  <si>
    <t>Düzköy</t>
  </si>
  <si>
    <t>Selim Çelenk</t>
  </si>
  <si>
    <t>Orta Mah. Adnan Kahveci Sok. No:13 Düzköy/TRABZON</t>
  </si>
  <si>
    <t>0 (462) 811 26 66</t>
  </si>
  <si>
    <t>belediye@duzkoy.bel.tr</t>
  </si>
  <si>
    <t>www.duzkoy.bel.tr</t>
  </si>
  <si>
    <t>Hayrat</t>
  </si>
  <si>
    <t>Mehmet Nuhoğlu</t>
  </si>
  <si>
    <t>Cumhuriyet Mahallesi Hayrat/TRABZON</t>
  </si>
  <si>
    <t>0 (462) 691 30 58</t>
  </si>
  <si>
    <t>bilgi@hayrat.bel.tr</t>
  </si>
  <si>
    <t>www.hayrat.bel.tr</t>
  </si>
  <si>
    <t>Ali Aydın</t>
  </si>
  <si>
    <t>www.trabzonkoprubasi.bel.tr</t>
  </si>
  <si>
    <t>Maçka</t>
  </si>
  <si>
    <t>Koray Koçan</t>
  </si>
  <si>
    <t>Merkez Mahallesi Belediye Caddesi No:23 Maçka/TRABZON</t>
  </si>
  <si>
    <t>info@macka.bel.tr</t>
  </si>
  <si>
    <t>www.macka.bel.tr</t>
  </si>
  <si>
    <t>Of</t>
  </si>
  <si>
    <t>Salim Salih Sarıalioğlu</t>
  </si>
  <si>
    <t>Sulaklı Mahallesi Belediye Meydanı No:3 Of/TRABZON</t>
  </si>
  <si>
    <t>belediye@of.bel.tr</t>
  </si>
  <si>
    <t>www.of.bel.tr</t>
  </si>
  <si>
    <t>Ortahisar</t>
  </si>
  <si>
    <t>Pazarkapı Mahallesi Kahramanmaraş Caddesi No:98 ORTAHİSAR/TRABZON</t>
  </si>
  <si>
    <t>trabzonortahisar@trabzonortahisar.bel.tr</t>
  </si>
  <si>
    <t>www.trabzonortahisar.bel.tr</t>
  </si>
  <si>
    <t>Sürmene</t>
  </si>
  <si>
    <t>Hüseyin Azizoğlu</t>
  </si>
  <si>
    <t>Çamlıca Mahallesi Yunusemre Caddesi No:21 Sürmene/TRABZON</t>
  </si>
  <si>
    <t>0 (462) 746 10 65</t>
  </si>
  <si>
    <t>info@surmene.bel.tr</t>
  </si>
  <si>
    <t>surmene.bel.tr</t>
  </si>
  <si>
    <t>Şalpazarı</t>
  </si>
  <si>
    <t>Refik Kurukız</t>
  </si>
  <si>
    <t>Turalıuşağı Mahallesi 61670 Şalpazarı/TRABZON</t>
  </si>
  <si>
    <t>belediye@salpazari.bel.tr</t>
  </si>
  <si>
    <t>salpazari.bel.tr</t>
  </si>
  <si>
    <t>Tonya</t>
  </si>
  <si>
    <t>Osman Beşel</t>
  </si>
  <si>
    <t>Orta Mahalle Senetli 2. Sokak No:3 Tonya/TRABZON</t>
  </si>
  <si>
    <t>0 (462) 881 30 10</t>
  </si>
  <si>
    <t>tonyabelediyesi@tonya.bel.tr</t>
  </si>
  <si>
    <t>www.tonya.bel.tr</t>
  </si>
  <si>
    <t>Vakfıkebir</t>
  </si>
  <si>
    <t>Fuat Koçal</t>
  </si>
  <si>
    <t>Çarşı Mahallesi Atatürk Caddesi No:1 Vakfıkebir/TRABZON</t>
  </si>
  <si>
    <t>0462 841 56 28</t>
  </si>
  <si>
    <t>info@vakfikebir.bel.tr</t>
  </si>
  <si>
    <t>www.vakfikebir.bel.tr</t>
  </si>
  <si>
    <t>Yomra</t>
  </si>
  <si>
    <t>Mustafa Bıyık</t>
  </si>
  <si>
    <t>Sancak Mah. Trabzon Cad. No:137 Yomra/TRABZON</t>
  </si>
  <si>
    <t>0 (462) 341 11 33</t>
  </si>
  <si>
    <t>bilgi@yomra.bel.tr</t>
  </si>
  <si>
    <t>www.yomra.bel.tr</t>
  </si>
  <si>
    <t>Tunceli</t>
  </si>
  <si>
    <t>Şefik AYGÖL (Başkan V. - Kayyum)
 [Seçilen: Cevdet Konak, DEM Parti - 22.11.2024'te görevden alındı]</t>
  </si>
  <si>
    <t>Moğultay Mahallesi Cami Sokak No:3 Merkez/Tunceli</t>
  </si>
  <si>
    <t>0(428) 212 13 27</t>
  </si>
  <si>
    <t>info@tunceli.bel.tr</t>
  </si>
  <si>
    <t>www.tunceli.bel.tr</t>
  </si>
  <si>
    <t>Çemişgezek</t>
  </si>
  <si>
    <t>İbrahim Enes SOMYÜREK (AK Parti)</t>
  </si>
  <si>
    <t>Mescit Mahallesi Mustafa Ataş Bulvarı No:19
 62600 Çemişgezek / Tunceli</t>
  </si>
  <si>
    <t>0428 611 21 32</t>
  </si>
  <si>
    <t>www.cemisgezek.bel.tr</t>
  </si>
  <si>
    <t>Hozat</t>
  </si>
  <si>
    <t>Aydın KAYA (Sol Parti)</t>
  </si>
  <si>
    <t>Yeni Mahalle Celal Doğan Sokak No:3, Cumhuriyet Cd. No:5
 62400 Hozat / Tunceli</t>
  </si>
  <si>
    <t>0428 561 20 10</t>
  </si>
  <si>
    <t>hozatbelediyesi@gmail.com</t>
  </si>
  <si>
    <t>hozat.bel.tr</t>
  </si>
  <si>
    <t>Mazgirt</t>
  </si>
  <si>
    <t>Ümit TAYHAVA (CHP)</t>
  </si>
  <si>
    <t>0(428) 311 20 09</t>
  </si>
  <si>
    <t>mazgirt.bel.tr</t>
  </si>
  <si>
    <t>Nazımiye</t>
  </si>
  <si>
    <t>Ali Emrah TEKİN (CHP)</t>
  </si>
  <si>
    <t>(428) 411 20 19</t>
  </si>
  <si>
    <t>destek@nazimiye.bel.tr</t>
  </si>
  <si>
    <t>nazimiye.bel.tr</t>
  </si>
  <si>
    <t>Ovacık</t>
  </si>
  <si>
    <t>Kayyum - Ovacık Kaymakamı (Başkan V.)
 [Seçilen: Mustafa Sarıgül, CHP - 22.11.2024'te görevden alındı]</t>
  </si>
  <si>
    <t>Pulur Mah. Belediye Cad. No:1 D:1
 62900 Ovacık / Tunceli</t>
  </si>
  <si>
    <t>0428 511 21 72</t>
  </si>
  <si>
    <t>info@tunceliovacik.bel.tr</t>
  </si>
  <si>
    <t>tunceliovacik.bel.tr</t>
  </si>
  <si>
    <t>Pertek</t>
  </si>
  <si>
    <t>Recai VURAL (AK Parti)</t>
  </si>
  <si>
    <t>İstiklal Mahallesi Atatürk Caddesi No:27
 62500 Pertek / Tunceli</t>
  </si>
  <si>
    <t>0428 651 20 60</t>
  </si>
  <si>
    <t>info@pertek.bel.tr</t>
  </si>
  <si>
    <t>www.pertek.bel.tr</t>
  </si>
  <si>
    <t>Pülümür</t>
  </si>
  <si>
    <t>Müslüm TOSUN (CHP)</t>
  </si>
  <si>
    <t>Merkez Mah. Cemal Süreya Cad. No:1 Kat:1
 62700 Pülümür / Tunceli</t>
  </si>
  <si>
    <t>(0428) 441 22 34</t>
  </si>
  <si>
    <t>bilgi@pulumur.bel.tr</t>
  </si>
  <si>
    <t>pulumur.bel.tr</t>
  </si>
  <si>
    <t>Uşak</t>
  </si>
  <si>
    <t>Av. Hatice Terekeci Özkan (Belediye Başkan Vekili)</t>
  </si>
  <si>
    <t>Sarayaltı Mahallesi Celal Bayar Caddesi No:80 Uşak/Merkez</t>
  </si>
  <si>
    <t>0 (276) 221 40 00</t>
  </si>
  <si>
    <t>bilgi@usak.bel.tr</t>
  </si>
  <si>
    <t>https://www.usak.bel.tr</t>
  </si>
  <si>
    <t>Banaz</t>
  </si>
  <si>
    <t>Zafer Arpacı (AK Parti)</t>
  </si>
  <si>
    <t>Cumhuriyet Mahallesi, Milli Egemenlik Caddesi No:1, Banaz/Uşak</t>
  </si>
  <si>
    <t>0 276 315 10 35</t>
  </si>
  <si>
    <t>http://www.banaz.bel.tr</t>
  </si>
  <si>
    <t>Eşme</t>
  </si>
  <si>
    <t>Zeki Işık (Belediye Başkan Vekili)</t>
  </si>
  <si>
    <t>Şehitalibey Mah. İnönü Blv. No:2, Eşme/Uşak</t>
  </si>
  <si>
    <t>0 (276) 414 10 13</t>
  </si>
  <si>
    <t>bilgi@esme.bel.tr</t>
  </si>
  <si>
    <t>https://esme.bel.tr</t>
  </si>
  <si>
    <t>Karahallı</t>
  </si>
  <si>
    <t>Ramazan Karakaya (CHP)</t>
  </si>
  <si>
    <t>https://www.karahalli.bel.tr</t>
  </si>
  <si>
    <t>Sivaslı</t>
  </si>
  <si>
    <t>Bahri Azatçam (AK Parti)</t>
  </si>
  <si>
    <t>Konak Mahallesi Gazi Bulvarı No:145, Sivaslı/Uşak</t>
  </si>
  <si>
    <t>0 276 618 11 56</t>
  </si>
  <si>
    <t>bilgi@sivasli.bel.tr</t>
  </si>
  <si>
    <t>https://www.sivasli.bel.tr</t>
  </si>
  <si>
    <t>Veli Koçlu (AK Parti)</t>
  </si>
  <si>
    <t>Camikebir Mah. Gürsel Cd. No:13, 64900 Ulubey/Uşak</t>
  </si>
  <si>
    <t>0 (276) 716 10 20</t>
  </si>
  <si>
    <t>info@usakulubey.bel.tr</t>
  </si>
  <si>
    <t>https://usakulubey.bel.tr</t>
  </si>
  <si>
    <t>Van</t>
  </si>
  <si>
    <t>Bahçesaray</t>
  </si>
  <si>
    <t>Harun Arslanargun (Kaymakam / Belediye Başkan V.)</t>
  </si>
  <si>
    <t>İslam Mahallesi, Mutiullah Bey Caddesi No:28, Bahçesaray/VAN</t>
  </si>
  <si>
    <t>0432 751 21 61</t>
  </si>
  <si>
    <t>www.bahcesaray.bel.tr</t>
  </si>
  <si>
    <t>Seçilmiş Eşbaşkan Ayvaz Hazır 29.11.2024'te İçişleri Bakanlığı kararıyla görevden uzaklaştırılmış, yerine Kaymakam Harun Arslanargun kayyum/vekil olarak atanmıştır (resmi kaynak: bahcesaray.gov.tr, Wikipedia).</t>
  </si>
  <si>
    <t>Başkale</t>
  </si>
  <si>
    <t>Şengül Polat ve Feyzi Caner (Eş Başkanlar)</t>
  </si>
  <si>
    <t>Yeni Mahalle, Şehit Kerem Aydın Bulvarı No:48, Başkale/VAN</t>
  </si>
  <si>
    <t>www.baskale.bel.tr</t>
  </si>
  <si>
    <t>Telefon ve e-posta resmi siteden doğrulanamadığı için boş bırakılmıştır.</t>
  </si>
  <si>
    <t>Çaldıran</t>
  </si>
  <si>
    <t>Hatice Atabay Gündoğdu ve Fettah Hasçelik (Eş Başkanlar)</t>
  </si>
  <si>
    <t>Beyazıt Mahallesi, Azerbaycan Caddesi No:184, Çaldıran/VAN</t>
  </si>
  <si>
    <t>0432 412 22 94</t>
  </si>
  <si>
    <t>iletisim@caldiran.bel.tr</t>
  </si>
  <si>
    <t>www.caldiran.bel.tr</t>
  </si>
  <si>
    <t>Çatak</t>
  </si>
  <si>
    <t>Reşat Eraslan ve Gülten Baran (Eş Başkanlar)</t>
  </si>
  <si>
    <t>Cumhuriyet Mahallesi, Atatürk Caddesi No:7, Çatak/VAN</t>
  </si>
  <si>
    <t>0432 512 28 91</t>
  </si>
  <si>
    <t>www.catak.bel.tr</t>
  </si>
  <si>
    <t>E-posta resmi siteden doğrulanamadığı için boş bırakılmıştır.</t>
  </si>
  <si>
    <t>Rabia Başak Koç ve Cemil Komi (Eş Başkanlar)</t>
  </si>
  <si>
    <t>Yeni Cami Mahallesi, Gürsel Sokak No:44, 65100 Edremit (Gümüşdere)/VAN</t>
  </si>
  <si>
    <t>444 20 65</t>
  </si>
  <si>
    <t>www.vanedremit.bel.tr</t>
  </si>
  <si>
    <t>E-posta resmi siteden doğrulanamadığı için boş bırakılmıştır. Not: Balıkesir'in Edremit ilçesiyle karıştırılmamalıdır.</t>
  </si>
  <si>
    <t>Erciş</t>
  </si>
  <si>
    <t>Güler Temel ve Baran Bilici (Eş Başkanlar)</t>
  </si>
  <si>
    <t>Beyazıt Mahallesi, Tugay 1. Caddesi No:98, 65400 Erciş/VAN</t>
  </si>
  <si>
    <t>0 (432) 351 62 00 / Alo 444 65 10</t>
  </si>
  <si>
    <t>www.ercis.bel.tr</t>
  </si>
  <si>
    <t>Gevaş</t>
  </si>
  <si>
    <t>Kübra Akti ve Ruknettin Hakan (Eş Başkanlar)</t>
  </si>
  <si>
    <t>İnönü Caddesi, Gevaş Merkez, 65700 Gevaş/VAN</t>
  </si>
  <si>
    <t>0 432 612 20 04 / 0 432 612 22 86</t>
  </si>
  <si>
    <t>info@gevas.bel.tr</t>
  </si>
  <si>
    <t>www.gevas.bel.tr</t>
  </si>
  <si>
    <t>Gürpınar</t>
  </si>
  <si>
    <t>Mehmet Tahir Ertaş (Belediye Başkanı)</t>
  </si>
  <si>
    <t>Cumhuriyet Mahallesi, Cumhuriyet Caddesi No:36, Gürpınar/VAN</t>
  </si>
  <si>
    <t>0432 551 20 06</t>
  </si>
  <si>
    <t>info@gurpinar.bel.tr</t>
  </si>
  <si>
    <t>gurpinar.bel.tr</t>
  </si>
  <si>
    <t>İpekyolu</t>
  </si>
  <si>
    <t>Canan Uzunay ve Cevdet Altındağ (Eş Başkanlar)</t>
  </si>
  <si>
    <t>Hafiziye Mahallesi, Umman Sokak, İpekyolu/VAN</t>
  </si>
  <si>
    <t>444 71 60</t>
  </si>
  <si>
    <t>www.ipekyolu.bel.tr</t>
  </si>
  <si>
    <t>Muradiye</t>
  </si>
  <si>
    <t>Hediye Sayıner ve Barış Yılmaz (Eş Başkanlar)</t>
  </si>
  <si>
    <t>Yenişehir Mahallesi, 113. Sokak No:2, Muradiye/VAN</t>
  </si>
  <si>
    <t>0432 451 20 16</t>
  </si>
  <si>
    <t>www.muradiye.bel.tr</t>
  </si>
  <si>
    <t>Özalp</t>
  </si>
  <si>
    <t>Sakine Kutpınar ve Ecevit Ceylancı (Eş Başkanlar)</t>
  </si>
  <si>
    <t>Mahmudiye Mahallesi, Atatürk Caddesi No:29, Özalp/VAN</t>
  </si>
  <si>
    <t>0 (432) 712 20 25</t>
  </si>
  <si>
    <t>bilgi@ozalp.bel.tr</t>
  </si>
  <si>
    <t>www.ozalp.bel.tr</t>
  </si>
  <si>
    <t>Davut Acar (Belediye Başkanı)</t>
  </si>
  <si>
    <t>Kazımpaşa Mahallesi, Milli Müdafaa Küme Evleri No:49, Saray/VAN</t>
  </si>
  <si>
    <t>0 (432) 781 20 49</t>
  </si>
  <si>
    <t>info@vansaray.bel.tr</t>
  </si>
  <si>
    <t>www.vansaray.bel.tr</t>
  </si>
  <si>
    <t>Web sitesi 'vansaray.bel.tr' olarak doğrulanmıştır (Tekirdağ'ın Saray ilçesi 'saray.bel.tr' ile karıştırılmamalıdır).</t>
  </si>
  <si>
    <t>Tuşba</t>
  </si>
  <si>
    <t>Hanım Akkoş ve Ümit Keser (Eş Başkanlar)</t>
  </si>
  <si>
    <t>Abdurrahman Gazi Mahallesi, Erciş Yolu Bulvarı No:103, Tuşba/VAN</t>
  </si>
  <si>
    <t>info@tusba.bel.tr</t>
  </si>
  <si>
    <t>www.tusba.bel.tr</t>
  </si>
  <si>
    <t>Yozgat</t>
  </si>
  <si>
    <t>Akdağmadeni</t>
  </si>
  <si>
    <t>Dr. Nezih Yalçın</t>
  </si>
  <si>
    <t>66300 Akdağmadeni/YOZGAT</t>
  </si>
  <si>
    <t>0 (354) 314 12 45</t>
  </si>
  <si>
    <t>https://www.akdagmadeni.bel.tr/</t>
  </si>
  <si>
    <t>E-posta resmi sitede Cloudflare ile korunuyor, görüntülenemedi</t>
  </si>
  <si>
    <t>Mustafa Tekçam</t>
  </si>
  <si>
    <t>Yeni Mahalle, Bekir Bozdağ Caddesi No:16, Aydıncık/YOZGAT</t>
  </si>
  <si>
    <t>0354 487 1055</t>
  </si>
  <si>
    <t>bilgi@yozgataydincik.bel.tr</t>
  </si>
  <si>
    <t>https://www.yozgataydincik.bel.tr/</t>
  </si>
  <si>
    <t>Boğazlıyan</t>
  </si>
  <si>
    <t>Gökhan Coşar</t>
  </si>
  <si>
    <t>Çarşı Mahallesi, 66400 Boğazlıyan/YOZGAT</t>
  </si>
  <si>
    <t>(0354) 645 20 00</t>
  </si>
  <si>
    <t>bilgi@bogazliyan.bel.tr</t>
  </si>
  <si>
    <t>https://bogazliyan.bel.tr/</t>
  </si>
  <si>
    <t>Çandır</t>
  </si>
  <si>
    <t>Ertan Eroğlu</t>
  </si>
  <si>
    <t>Kılıçlar Mahallesi, Atatürk Cd. No:6, 66620 Çandır/YOZGAT</t>
  </si>
  <si>
    <t>(0354) 716 10 19</t>
  </si>
  <si>
    <t>info@candir.bel.tr</t>
  </si>
  <si>
    <t>https://www.candir.bel.tr/</t>
  </si>
  <si>
    <t>Çayıralan</t>
  </si>
  <si>
    <t>Ömer Codar</t>
  </si>
  <si>
    <t>Avcılar Mahallesi, Atatürk Cd. No:8, 66600 Çayıralan/YOZGAT</t>
  </si>
  <si>
    <t>0354 736 11 22</t>
  </si>
  <si>
    <t>cayiralanbelediyesi66@gmail.com</t>
  </si>
  <si>
    <t>https://www.cayiralan.bel.tr/</t>
  </si>
  <si>
    <t>Çekerek</t>
  </si>
  <si>
    <t>Av. Üzeyir İnce</t>
  </si>
  <si>
    <t>Bahçelievler Mahallesi, Cumhuriyet Cd. No:75, 66500 Çekerek/YOZGAT</t>
  </si>
  <si>
    <t>0 (354) 468 10 12</t>
  </si>
  <si>
    <t>cekerek@cekerek.bel.tr</t>
  </si>
  <si>
    <t>https://cekerek.bel.tr/</t>
  </si>
  <si>
    <t>Kadışehri</t>
  </si>
  <si>
    <t>Davut Karadavut</t>
  </si>
  <si>
    <t>Çaypınar Mahallesi, Cumhuriyet Bulvarı No:10, 66540 Kadışehri/YOZGAT</t>
  </si>
  <si>
    <t>(0354) 375 40 03</t>
  </si>
  <si>
    <t>info@kadisehri.bel.tr</t>
  </si>
  <si>
    <t>https://kadisehri.bel.tr/</t>
  </si>
  <si>
    <t>Merkez (Yozgat)</t>
  </si>
  <si>
    <t>Dr. Kazım Arslan</t>
  </si>
  <si>
    <t>Aşağı Nohutlu Mahallesi, Şehzade Caddesi No:8, Yozgat</t>
  </si>
  <si>
    <t>(0354) 666 66 66</t>
  </si>
  <si>
    <t>yozgat@yozgat.bel.tr</t>
  </si>
  <si>
    <t>https://www.yozgat.bel.tr/</t>
  </si>
  <si>
    <t>Saraykent</t>
  </si>
  <si>
    <t>Ahmet Köroğlu</t>
  </si>
  <si>
    <t>Fatih Sultan Mehmet Mahallesi, Mareşal Fevzi Çakmak Cd. No:2, Saraykent/YOZGAT</t>
  </si>
  <si>
    <t>0 (354) 368 60 04</t>
  </si>
  <si>
    <t>info@saraykent.bel.tr</t>
  </si>
  <si>
    <t>https://www.saraykent.bel.tr/</t>
  </si>
  <si>
    <t>Sarıkaya</t>
  </si>
  <si>
    <t>Osman Gözan</t>
  </si>
  <si>
    <t>Fatih Mahallesi, Belediye Başkanlığı Binası, Sarıkaya/YOZGAT</t>
  </si>
  <si>
    <t>https://www.sarikaya.bel.tr/</t>
  </si>
  <si>
    <t>Adres/telefon e-Devlet kurumsal kaydından doğrulandı; e-posta resmi kaynakta bulunamadı</t>
  </si>
  <si>
    <t>Sorgun</t>
  </si>
  <si>
    <t>Mustafa Erkut Ekinci</t>
  </si>
  <si>
    <t>Bahçelievler Mahallesi, Hürriyet Meydanı No:1, Sorgun/YOZGAT</t>
  </si>
  <si>
    <t>(0354) 415 12 36</t>
  </si>
  <si>
    <t>srg@sorgun.bel.tr</t>
  </si>
  <si>
    <t>https://www.sorgun.bel.tr/</t>
  </si>
  <si>
    <t>Şefaatli</t>
  </si>
  <si>
    <t>Zeki Bozkurt</t>
  </si>
  <si>
    <t>Yeni Mahalle, Atatürk Bulvarı No:13, Şefaatli/YOZGAT</t>
  </si>
  <si>
    <t>(0354) 564 15 10</t>
  </si>
  <si>
    <t>https://sefaatli.bel.tr/</t>
  </si>
  <si>
    <t>Adres/telefon ikincil rehber kaynaklardan teyit edildi; resmi site iletişim sayfası JS ile yükleniyor, e-posta bulunamadı</t>
  </si>
  <si>
    <t>Yenifakılı</t>
  </si>
  <si>
    <t>BELİRSİZ (bkz. not)</t>
  </si>
  <si>
    <t>Yenimahalle, Muhsin Yazıcıoğlu Cd. No:21, 66470 Yenifakılı/YOZGAT</t>
  </si>
  <si>
    <t>0 (354) 612 10 09</t>
  </si>
  <si>
    <t>info@yenifakili.bel.tr</t>
  </si>
  <si>
    <t>https://www.yenifakili.bel.tr/</t>
  </si>
  <si>
    <t>Eski başkan Musa Sarıaslan 25 Temmuz 2025'te trafik kazasında vefat etti. Haberlerde meclisin yeni başkan seçtiği belirtiliyor ancak resmi site hâlâ eski başkanı listeliyor; güncel başkan adı resmi kaynaktan doğrulanamadı</t>
  </si>
  <si>
    <t>Yerköy</t>
  </si>
  <si>
    <t>Av. Fatih Arslan</t>
  </si>
  <si>
    <t>Haşim Kılıç Mahallesi, Belediye Caddesi No:3, 66900 Yerköy/YOZGAT</t>
  </si>
  <si>
    <t>0 (354) 516 24 45</t>
  </si>
  <si>
    <t>https://www.yerkoy.bel.tr/</t>
  </si>
  <si>
    <t>Zonguldak</t>
  </si>
  <si>
    <t>Tahsin ERDEM</t>
  </si>
  <si>
    <t>Terakki Mh. Belediye Bulvarı No:1, 67100 ZONGULDAK</t>
  </si>
  <si>
    <t>444 06 67</t>
  </si>
  <si>
    <t>info@zonguldak.bel.tr</t>
  </si>
  <si>
    <t>www.zonguldak.bel.tr</t>
  </si>
  <si>
    <t>Alaplı</t>
  </si>
  <si>
    <t>Nuri TEKİN</t>
  </si>
  <si>
    <t>Merkez, İskele Cd. No:27, 67850 Alaplı / ZONGULDAK</t>
  </si>
  <si>
    <t>0372 378 0 444</t>
  </si>
  <si>
    <t>info@alapli.bel.tr</t>
  </si>
  <si>
    <t>www.alapli.bel.tr</t>
  </si>
  <si>
    <t>Çaycuma</t>
  </si>
  <si>
    <t>Bülent KANTARCI</t>
  </si>
  <si>
    <t>Yeni Mahalle, Uğur Mumcu Caddesi No:29, 67900 Çaycuma / ZONGULDAK</t>
  </si>
  <si>
    <t>0850 288 67 67</t>
  </si>
  <si>
    <t>halkmasasi@caycuma.bel.tr</t>
  </si>
  <si>
    <t>www.caycuma.bel.tr</t>
  </si>
  <si>
    <t>Devrek</t>
  </si>
  <si>
    <t>Özcan ULUPINAR</t>
  </si>
  <si>
    <t>Cumhuriyet Alanı Belediye İş Hanı Kat:4, 67800 Devrek / ZONGULDAK</t>
  </si>
  <si>
    <t>0372 556 80 38</t>
  </si>
  <si>
    <t>www.devrek.bel.tr</t>
  </si>
  <si>
    <t>Halil POSBIYIK</t>
  </si>
  <si>
    <t>Murtaza Mah. Hasan Arslan Sok. No:39, 67320 Kdz. Ereğli / ZONGULDAK</t>
  </si>
  <si>
    <t>0372 333 1 333</t>
  </si>
  <si>
    <t>kdzeregli@kdzeregli.bel.tr</t>
  </si>
  <si>
    <t>www.kdzeregli.bel.tr</t>
  </si>
  <si>
    <t>Gökçebey</t>
  </si>
  <si>
    <t>Vedat ÖZTÜRK</t>
  </si>
  <si>
    <t>Çarşı İçi Mh. Kahyaoğlu Cd. Gökçebey / ZONGULDAK</t>
  </si>
  <si>
    <t>0372 512 10 34</t>
  </si>
  <si>
    <t>bilgi@gokcebey.bel.tr</t>
  </si>
  <si>
    <t>www.gokcebey.bel.tr</t>
  </si>
  <si>
    <t>Kilimli</t>
  </si>
  <si>
    <t>Kamil ALTUN</t>
  </si>
  <si>
    <t>Merkez Mahallesi Benzinlik Sokak No:2 Daire:2, 67500 Kilimli / ZONGULDAK</t>
  </si>
  <si>
    <t>0372 265 10 05</t>
  </si>
  <si>
    <t>kilimlibelediyesi@kilimli.bel.tr</t>
  </si>
  <si>
    <t>www.kilimli.bel.tr</t>
  </si>
  <si>
    <t>Kozlu</t>
  </si>
  <si>
    <t>Altuğ DÖKMECİ</t>
  </si>
  <si>
    <t>19 Mayıs Mh. Şehit Polis Ramazan Tavşancı Cd. No:25, 67100 Kozlu / ZONGULDAK</t>
  </si>
  <si>
    <t>0372 266 10 16</t>
  </si>
  <si>
    <t>bilgiislem@kozlu.bel.tr</t>
  </si>
  <si>
    <t>www.kozlu.bel.tr</t>
  </si>
  <si>
    <t>Aksaray</t>
  </si>
  <si>
    <t>Dr. Evren Dinçer</t>
  </si>
  <si>
    <t>Zincirli Mah. 44. (Mehmet Altınsoy) Cad. No:55, 68100 Merkez/Aksaray</t>
  </si>
  <si>
    <t>0382 213 54 92 / 444 55 68</t>
  </si>
  <si>
    <t>www.aksaray.bel.tr</t>
  </si>
  <si>
    <t>Ağaçören</t>
  </si>
  <si>
    <t>Kemal Salman</t>
  </si>
  <si>
    <t>Yurtsever Mah. Atatürk Bul. Pk:68600 Ağaçören/Aksaray</t>
  </si>
  <si>
    <t>0382 331 20 07</t>
  </si>
  <si>
    <t>www.agacoren.bel.tr</t>
  </si>
  <si>
    <t>Eskil</t>
  </si>
  <si>
    <t>Mustafa Zavlak</t>
  </si>
  <si>
    <t>Merkez Mah. Aksaray Blv., 68800 Eskil/Aksaray</t>
  </si>
  <si>
    <t>0382 411 40 26</t>
  </si>
  <si>
    <t>bilgi@eskil.bel.tr</t>
  </si>
  <si>
    <t>www.eskil.bel.tr</t>
  </si>
  <si>
    <t>Gülağaç</t>
  </si>
  <si>
    <t>Doğan Başbuğ</t>
  </si>
  <si>
    <t>Meydan Mah. Hürriyet Cd. Pk:68900, 68900 Gülağaç/Aksaray</t>
  </si>
  <si>
    <t>0382 431 20 75</t>
  </si>
  <si>
    <t>info@gulagac.bel.tr</t>
  </si>
  <si>
    <t>www.gulagac.bel.tr</t>
  </si>
  <si>
    <t>Güzelyurt</t>
  </si>
  <si>
    <t>Ünal Demircioğlu</t>
  </si>
  <si>
    <t>Yukarı Mah. Çarşı Meydanı No:15 Güzelyurt/Aksaray</t>
  </si>
  <si>
    <t>0382 451 20 19</t>
  </si>
  <si>
    <t>info@guzelyurt.bel.tr</t>
  </si>
  <si>
    <t>www.guzelyurt.bel.tr</t>
  </si>
  <si>
    <t>Ahmet Koyuncu</t>
  </si>
  <si>
    <t>İstiklal Mah. Şehit Mesut Çiftçi Cad. No:38 Belediye Sarayı Ortaköy/Aksaray</t>
  </si>
  <si>
    <t>0382 351 88 43</t>
  </si>
  <si>
    <t>www.ortakoy.bel.tr</t>
  </si>
  <si>
    <t>Sarıyahşi</t>
  </si>
  <si>
    <t>Doğan Mutlu</t>
  </si>
  <si>
    <t>Şafaktepe Mah. Cumhuriyet Blv. No:64, 68700 Sarıyahşi/Aksaray</t>
  </si>
  <si>
    <t>0382 311 20 02</t>
  </si>
  <si>
    <t>info@sariyahsi.bel.tr</t>
  </si>
  <si>
    <t>www.sariyahsi.bel.tr</t>
  </si>
  <si>
    <t>Sultanhanı</t>
  </si>
  <si>
    <t>Fahri Solak</t>
  </si>
  <si>
    <t>Zafer Mah. Şehit Murat Cad. No:1, 68190 Sultanhanı/Aksaray</t>
  </si>
  <si>
    <t>0382 242 20 05</t>
  </si>
  <si>
    <t>www.sultanhani.bel.tr</t>
  </si>
  <si>
    <t>Bayburt</t>
  </si>
  <si>
    <t>Mete Memiş</t>
  </si>
  <si>
    <t>Cumhuriyet Caddesi Belediye Hizmet Binası, Merkez/Bayburt</t>
  </si>
  <si>
    <t>0 458 211 2502</t>
  </si>
  <si>
    <t>info@bayburt.bel.tr</t>
  </si>
  <si>
    <t>www.bayburt.bel.tr</t>
  </si>
  <si>
    <t>Aydıntepe</t>
  </si>
  <si>
    <t>Haşim Şentürk</t>
  </si>
  <si>
    <t>Ahmet Yesevi Mahallesi, Çaykara Caddesi, Aydıntepe/Bayburt</t>
  </si>
  <si>
    <t>bilgi@aydintepe.bel.tr</t>
  </si>
  <si>
    <t>www.aydintepe.bel.tr</t>
  </si>
  <si>
    <t>Demirözü</t>
  </si>
  <si>
    <t>Arslan Gürer</t>
  </si>
  <si>
    <t>Esentepe Mahallesi Fatih Sultan Mehmet Caddesi No:1, Demirözü/Bayburt</t>
  </si>
  <si>
    <t>0458 411 60 03</t>
  </si>
  <si>
    <t>www.demirozu.bel.tr</t>
  </si>
  <si>
    <t>Karaman</t>
  </si>
  <si>
    <t>Savaş KALAYCI</t>
  </si>
  <si>
    <t>Kirişçi Mahallesi Atatürk Bulvarı No:79, Merkez/KARAMAN</t>
  </si>
  <si>
    <t>0338 226 40 00</t>
  </si>
  <si>
    <t>bim@karaman.bel.tr</t>
  </si>
  <si>
    <t>www.karaman.bel.tr</t>
  </si>
  <si>
    <t>Ayrancı</t>
  </si>
  <si>
    <t>Yüksel BÜYÜKKARCISI</t>
  </si>
  <si>
    <t>Dede, Atatürk Cd. No:54, 70500 Ayrancı/KARAMAN</t>
  </si>
  <si>
    <t>0338 411 21 91</t>
  </si>
  <si>
    <t>www.ayranci.bel.tr</t>
  </si>
  <si>
    <t>Başyayla</t>
  </si>
  <si>
    <t>Abdülkadir ATEŞ</t>
  </si>
  <si>
    <t>Cumhuriyet Caddesi, 70700 Başyayla/KARAMAN</t>
  </si>
  <si>
    <t>0338 351 64 32</t>
  </si>
  <si>
    <t>basyayla@basyayla.bel.tr</t>
  </si>
  <si>
    <t>www.basyayla.bel.tr</t>
  </si>
  <si>
    <t>Ermenek</t>
  </si>
  <si>
    <t>Mustafa BOZCU</t>
  </si>
  <si>
    <t>Taşbaşı Mahallesi Atatürk Caddesi No:2, Ermenek/KARAMAN</t>
  </si>
  <si>
    <t>0338 716 19 91</t>
  </si>
  <si>
    <t>ermenekbelediyesi@hotmail.com</t>
  </si>
  <si>
    <t>ermenek.bel.tr</t>
  </si>
  <si>
    <t>Kazımkarabekir</t>
  </si>
  <si>
    <t>Durmuş DEMİR</t>
  </si>
  <si>
    <t>Emsalhayat Mh. Konya Cd. No:4, 70600 Kazımkarabekir/KARAMAN</t>
  </si>
  <si>
    <t>0338 311 20 10</t>
  </si>
  <si>
    <t>bilgi@kazimkarabekir.bel.tr</t>
  </si>
  <si>
    <t>www.kazimkarabekir.bel.tr</t>
  </si>
  <si>
    <t>Sarıveliler</t>
  </si>
  <si>
    <t>Mehmet Ali YILMAZ</t>
  </si>
  <si>
    <t>Merkez Mahallesi Mevlana Cad. No:42, 70800 Sarıveliler/KARAMAN</t>
  </si>
  <si>
    <t>0338 441 21 17</t>
  </si>
  <si>
    <t>sariveliler1967@sariveliler.bel.tr</t>
  </si>
  <si>
    <t>www.sariveliler.bel.tr</t>
  </si>
  <si>
    <t>Kırıkkale</t>
  </si>
  <si>
    <t>Ahmet Önal</t>
  </si>
  <si>
    <t>Yenidoğan Mah. Belediye Cad. 71200 Merkez/Kırıkkale</t>
  </si>
  <si>
    <t>0318 224 27 70</t>
  </si>
  <si>
    <t>info@kirikkale.bel.tr</t>
  </si>
  <si>
    <t>www.kirikkale.bel.tr</t>
  </si>
  <si>
    <t>Bahşılı</t>
  </si>
  <si>
    <t>Halil İbrahim Bişkin</t>
  </si>
  <si>
    <t>Hüseyin Onbaşı Mah. Fatih Sultan Mehmet Cad. No:23 Bahşılı/Kırıkkale</t>
  </si>
  <si>
    <t>0318 366 16 42</t>
  </si>
  <si>
    <t>www.bahsili.bel.tr</t>
  </si>
  <si>
    <t>Balışeyh</t>
  </si>
  <si>
    <t>Savaş Akyüz</t>
  </si>
  <si>
    <t>Yeni Mah. Samsun Cad. No:35 71520 Balışeyh/Kırıkkale</t>
  </si>
  <si>
    <t>0318 713 70 25</t>
  </si>
  <si>
    <t>belediye@baliseyh.bel.tr</t>
  </si>
  <si>
    <t>www.baliseyh.bel.tr</t>
  </si>
  <si>
    <t>Çelebi</t>
  </si>
  <si>
    <t>Yaşar Erdemir</t>
  </si>
  <si>
    <t>Fatih Mah. Şehit Saffet Tuzcu Cad. No:3/1 Çelebi/Kırıkkale</t>
  </si>
  <si>
    <t>0318 414 56 00</t>
  </si>
  <si>
    <t>info@celebi.bel.tr</t>
  </si>
  <si>
    <t>www.celebi.bel.tr</t>
  </si>
  <si>
    <t>Delice</t>
  </si>
  <si>
    <t>Av. Yılmaz Uyan</t>
  </si>
  <si>
    <t>Cumhuriyet Mah. Atatürk Bulvarı No:10 Delice/Kırıkkale</t>
  </si>
  <si>
    <t>0318 618 50 04</t>
  </si>
  <si>
    <t>bilgi@delice.bel.tr</t>
  </si>
  <si>
    <t>www.delice.bel.tr</t>
  </si>
  <si>
    <t>Karakeçili</t>
  </si>
  <si>
    <t>Hüseyin Özçelik</t>
  </si>
  <si>
    <t>Kurtuluş Mah. İnönü Cad. No:1 Karakeçili/Kırıkkale</t>
  </si>
  <si>
    <t>0318 474 30 08</t>
  </si>
  <si>
    <t>karakecilibelediyesi@gmail.com</t>
  </si>
  <si>
    <t>karakecilibelediyesi.bel.tr</t>
  </si>
  <si>
    <t>Keskin</t>
  </si>
  <si>
    <t>Ekmel Cönger</t>
  </si>
  <si>
    <t>Altuntaş Mah. Atatürk Bulv. No:1 71800 Keskin/Kırıkkale</t>
  </si>
  <si>
    <t>0318 515 34 83</t>
  </si>
  <si>
    <t>iletisim@keskin.bel.tr</t>
  </si>
  <si>
    <t>www.keskin.bel.tr</t>
  </si>
  <si>
    <t>Sulakyurt</t>
  </si>
  <si>
    <t>Seyfettin Çetiner</t>
  </si>
  <si>
    <t>Yeni Mah. Şehit Polis Çağdaş Tamkoç Cad. No:1 Sulakyurt/Kırıkkale</t>
  </si>
  <si>
    <t>0318 812 70 11</t>
  </si>
  <si>
    <t>www.sulakyurt.bel.tr</t>
  </si>
  <si>
    <t>Yahşihan</t>
  </si>
  <si>
    <t>Ahmet Sungur *</t>
  </si>
  <si>
    <t>Emirler Mah. Cumhuriyet Cad. No:80 71450 Yahşihan/Kırıkkale</t>
  </si>
  <si>
    <t>0318 357 25 60</t>
  </si>
  <si>
    <t>info@yahsihan.bel.tr</t>
  </si>
  <si>
    <t>www.yahsihan.bel.tr</t>
  </si>
  <si>
    <t>Batman</t>
  </si>
  <si>
    <t>Ekrem Canalp (Belediye Başkan V.)</t>
  </si>
  <si>
    <t>Şirinevler Mah. Atatürk Blv. No:2 Merkez / BATMAN</t>
  </si>
  <si>
    <t>0488 213 27 59</t>
  </si>
  <si>
    <t>bilgi@batman.bel.tr</t>
  </si>
  <si>
    <t>www.batman.bel.tr</t>
  </si>
  <si>
    <t>Beşiri</t>
  </si>
  <si>
    <t>Alpaslan Karabulut</t>
  </si>
  <si>
    <t>Milli Egemenlik Mah. Cumhuriyet Cd. Pk:72200 Beşiri / BATMAN</t>
  </si>
  <si>
    <t>0488 311 22 02</t>
  </si>
  <si>
    <t>bilgi@besiri.bel.tr</t>
  </si>
  <si>
    <t>www.besiri.bel.tr</t>
  </si>
  <si>
    <t>Gercüş</t>
  </si>
  <si>
    <t>Gündüz Günaydın</t>
  </si>
  <si>
    <t>0488 341 21 58</t>
  </si>
  <si>
    <t>gercusbel@hotmail.com</t>
  </si>
  <si>
    <t>www.gercus.bel.tr</t>
  </si>
  <si>
    <t>Hasankeyf</t>
  </si>
  <si>
    <t>Hamit Tutuş</t>
  </si>
  <si>
    <t>0488 381 22 77</t>
  </si>
  <si>
    <t>www.hasankeyf.bel.tr</t>
  </si>
  <si>
    <t>Kozluk</t>
  </si>
  <si>
    <t>Mehmet Veysi Işık</t>
  </si>
  <si>
    <t>Yeni Mah. Dr. Berat Kıran Cad. Cumhuriyet Meydanı No:1 Kozluk / BATMAN</t>
  </si>
  <si>
    <t>0488 411 21 77</t>
  </si>
  <si>
    <t>bilgi@kozluk.bel.tr</t>
  </si>
  <si>
    <t>www.kozluk.bel.tr</t>
  </si>
  <si>
    <t>Sason</t>
  </si>
  <si>
    <t>İrfan Demir</t>
  </si>
  <si>
    <t>0488 461 20 29</t>
  </si>
  <si>
    <t>www.sason.bel.tr</t>
  </si>
  <si>
    <t>Şırnak</t>
  </si>
  <si>
    <t>Merkez (Şırnak)</t>
  </si>
  <si>
    <t>Mehmet YARKA</t>
  </si>
  <si>
    <t>Bahçelievler Mah. Belediye Bulvarı No: 2, 73000 Şırnak</t>
  </si>
  <si>
    <t>sirnakbelediyesi@sirnak.bel.tr</t>
  </si>
  <si>
    <t>www.sirnak.bel.tr</t>
  </si>
  <si>
    <t>Cizre</t>
  </si>
  <si>
    <t>Güler Yerbasan / Abdurrahim Durmuş (Eş Başkanlar)</t>
  </si>
  <si>
    <t>Sur Mahallesi Mem U Zin Bulvarı No: 165, Cizre - Şırnak</t>
  </si>
  <si>
    <t>(486) 616-1693</t>
  </si>
  <si>
    <t>bilgi@cizre.bel.tr</t>
  </si>
  <si>
    <t>www.cizre.bel.tr</t>
  </si>
  <si>
    <t>Silopi</t>
  </si>
  <si>
    <t>Jiyan Ormanlı / Renas Onuk (Eş Başkanlar)</t>
  </si>
  <si>
    <t>Yeni Şehir Mahallesi, İpek Yolu, 73400 Silopi/Şırnak</t>
  </si>
  <si>
    <t>(0486) 518 10 08</t>
  </si>
  <si>
    <t>info@silopi.bel.tr</t>
  </si>
  <si>
    <t>silopi.bel.tr</t>
  </si>
  <si>
    <t>İdil</t>
  </si>
  <si>
    <t>Türkan KAYIR</t>
  </si>
  <si>
    <t>Yukarı Mahalle, İnönü Caddesi No: 42/1, 73300 İdil/Şırnak</t>
  </si>
  <si>
    <t>(0535) 551 80 73</t>
  </si>
  <si>
    <t>info@idil.bel.tr</t>
  </si>
  <si>
    <t>www.idil.bel.tr</t>
  </si>
  <si>
    <t>Beytüşşebap</t>
  </si>
  <si>
    <t>Kamil DURMUŞ</t>
  </si>
  <si>
    <t>Elki Mahallesi 7. Cadde No: 1, Beytüşşebap/Şırnak</t>
  </si>
  <si>
    <t>0486 311 20 06</t>
  </si>
  <si>
    <t>bilgi@beytussebap.bel.tr</t>
  </si>
  <si>
    <t>www.beytussebap.bel.tr</t>
  </si>
  <si>
    <t>Güçlükonak</t>
  </si>
  <si>
    <t>Selahattin AKTUĞ</t>
  </si>
  <si>
    <t>guclukonak.bel.tr</t>
  </si>
  <si>
    <t>Uludere</t>
  </si>
  <si>
    <t>Gürgin ÜREK</t>
  </si>
  <si>
    <t>Kılaban Mahallesi, Cumhuriyet Caddesi No: 39, Uludere/Şırnak</t>
  </si>
  <si>
    <t>0486 351 20 07</t>
  </si>
  <si>
    <t>www.uludere.bel.tr</t>
  </si>
  <si>
    <t>Bartın</t>
  </si>
  <si>
    <t>Muhammet Rıza Yalçınkaya</t>
  </si>
  <si>
    <t>Kemerköprü Mahallesi Elmalık Sokak No:1, Bartın</t>
  </si>
  <si>
    <t>0378 227 10 25</t>
  </si>
  <si>
    <t>bartinbelediyesi@bartin.bel.tr</t>
  </si>
  <si>
    <t>https://bartin.bel.tr</t>
  </si>
  <si>
    <t>Amasra</t>
  </si>
  <si>
    <t>Recai Çakır</t>
  </si>
  <si>
    <t>Kum Mah. Küçük Liman Cad. No:2, Amasra/Bartın</t>
  </si>
  <si>
    <t>https://www.amasra.bel.tr</t>
  </si>
  <si>
    <t>Kurucaşile</t>
  </si>
  <si>
    <t>Uğur Güneş</t>
  </si>
  <si>
    <t>Liman Mah. İskele Cd. Kurucaşile, Bartın</t>
  </si>
  <si>
    <t>0378 518 1158</t>
  </si>
  <si>
    <t>kurucasile@kurucasile.bel.tr</t>
  </si>
  <si>
    <t>https://www.kurucasile.bel.tr</t>
  </si>
  <si>
    <t>Ulus</t>
  </si>
  <si>
    <t>Hasan Hüseyin Uzun</t>
  </si>
  <si>
    <t>Kaldırım Mh. Atatürk Cd. No:5, 74600 Ulus/Bartın</t>
  </si>
  <si>
    <t>0378 416 10 15</t>
  </si>
  <si>
    <t>info@ulus.bel.tr</t>
  </si>
  <si>
    <t>https://www.ulus.bel.tr</t>
  </si>
  <si>
    <t>Ardahan</t>
  </si>
  <si>
    <t>Faruk Demir</t>
  </si>
  <si>
    <t>Kaptanpaşa Mah. İnönü Cad. No:27, Merkez/Ardahan</t>
  </si>
  <si>
    <t>(0478) 211 66 28</t>
  </si>
  <si>
    <t>info@ardahan.bel.tr</t>
  </si>
  <si>
    <t>www.ardahan.bel.tr</t>
  </si>
  <si>
    <t>Çıldır</t>
  </si>
  <si>
    <t>Kemal Yakup Azizoğlu</t>
  </si>
  <si>
    <t>Çay Mahallesi, Atıf Ababay Caddesi No:51, 75400 Çıldır/Ardahan</t>
  </si>
  <si>
    <t>(0478) 311 21 64</t>
  </si>
  <si>
    <t>info@cildir.bel.tr</t>
  </si>
  <si>
    <t>cildir.bel.tr</t>
  </si>
  <si>
    <t>Damal</t>
  </si>
  <si>
    <t>Kemal Çamlıyurt</t>
  </si>
  <si>
    <t>Konuksever Mah. Atatürk Cad. No:10, 75600 Damal/Ardahan</t>
  </si>
  <si>
    <t>(0478) 651 43 05</t>
  </si>
  <si>
    <t>iletisim@damal.bel.tr</t>
  </si>
  <si>
    <t>www.damal.bel.tr</t>
  </si>
  <si>
    <t>Göle</t>
  </si>
  <si>
    <t>İlhan Gületkın</t>
  </si>
  <si>
    <t>Kubilay Bey Mahallesi, Belediye Sok., 75700 Göle/Ardahan</t>
  </si>
  <si>
    <t>(0478) 411 34 14</t>
  </si>
  <si>
    <t>info@gole.bel.tr</t>
  </si>
  <si>
    <t>www.gole.bel.tr</t>
  </si>
  <si>
    <t>Hanak</t>
  </si>
  <si>
    <t>Enver Can Büyükkaya</t>
  </si>
  <si>
    <t>Selamverdi Mah. Gençlik Sok. Pk:75900 Hanak/Ardahan</t>
  </si>
  <si>
    <t>(0478) 611 21 08</t>
  </si>
  <si>
    <t>bilgi@hanak.bel.tr</t>
  </si>
  <si>
    <t>www.hanak.bel.tr</t>
  </si>
  <si>
    <t>Posof</t>
  </si>
  <si>
    <t>Erdem Demirci</t>
  </si>
  <si>
    <t>Merkez Mah. Ardahan Cad. No:48, 75800 Posof/Ardahan</t>
  </si>
  <si>
    <t>(0478) 511 20 15</t>
  </si>
  <si>
    <t>info@posof.bel.tr</t>
  </si>
  <si>
    <t>posof.bel.tr</t>
  </si>
  <si>
    <t>Iğdır</t>
  </si>
  <si>
    <t>Mehmet Nuri GÜNEŞ</t>
  </si>
  <si>
    <t>Cumhuriyet Mahallesi Rıza Yalçın Caddesi No:12 Merkez/IĞDIR</t>
  </si>
  <si>
    <t>(0476) 227 65 54</t>
  </si>
  <si>
    <t>yaziisleri@igdir.bel.tr</t>
  </si>
  <si>
    <t>www.igdir.bel.tr</t>
  </si>
  <si>
    <t>Aralık</t>
  </si>
  <si>
    <t>Mustafa GÜZELKAYA</t>
  </si>
  <si>
    <t>Köprüler Mah. Atatürk Cad. No:2 Aralık/IĞDIR</t>
  </si>
  <si>
    <t>(0476) 411 20 15</t>
  </si>
  <si>
    <t>bilgi@aralik.bel.tr</t>
  </si>
  <si>
    <t>www.aralik.bel.tr</t>
  </si>
  <si>
    <t>Karakoyunlu</t>
  </si>
  <si>
    <t>Bayramali BALLI</t>
  </si>
  <si>
    <t>Fatih Mahallesi Cumhuriyet Caddesi No:63 Karakoyunlu/IĞDIR</t>
  </si>
  <si>
    <t>(0476) 518 70 01</t>
  </si>
  <si>
    <t>www.karakoyunlu.bel.tr</t>
  </si>
  <si>
    <t>Tuzluca</t>
  </si>
  <si>
    <t>Ahmet Sait Sadrettin TÜRKAN</t>
  </si>
  <si>
    <t>Belediye Hizmet Binası, TUZLUCA/IĞDIR</t>
  </si>
  <si>
    <t>(0476) 311 20 35</t>
  </si>
  <si>
    <t>bilgi@tuzluca.bel.tr</t>
  </si>
  <si>
    <t>tuzluca.bel.tr</t>
  </si>
  <si>
    <t>Yalova</t>
  </si>
  <si>
    <t>Merkez (Yalova)</t>
  </si>
  <si>
    <t>Mehmet Gürel</t>
  </si>
  <si>
    <t>Süleymanbey Mah. Cumhuriyet Cad. Karizma İş Merkezi No:3 Kat:4 PK:77100 Yalova</t>
  </si>
  <si>
    <t>0 (226) 811 50 00 / 444 8 777</t>
  </si>
  <si>
    <t>www.yalova.bel.tr</t>
  </si>
  <si>
    <t>Altınova</t>
  </si>
  <si>
    <t>Yasemin Fazlaca</t>
  </si>
  <si>
    <t>Cumhuriyet Mah. Atatürk Blv. No:24/A, 77700 Altınova/Yalova</t>
  </si>
  <si>
    <t>0226 461 29 40</t>
  </si>
  <si>
    <t>altinova@altinova.bel.tr</t>
  </si>
  <si>
    <t>altinova.bel.tr</t>
  </si>
  <si>
    <t>Armutlu</t>
  </si>
  <si>
    <t>Karşıyaka Mah. Armutlu Meydanı No:1, Armutlu/Yalova</t>
  </si>
  <si>
    <t>0226 531 42 05</t>
  </si>
  <si>
    <t>bilgi@armutlu.bel.tr</t>
  </si>
  <si>
    <t>www.armutlu.bel.tr</t>
  </si>
  <si>
    <t>Çınarcık</t>
  </si>
  <si>
    <t>Avni Kurt</t>
  </si>
  <si>
    <t>Harmanlar Mah. Belediye Sk. No:5, Çınarcık/Yalova</t>
  </si>
  <si>
    <t>444 04 77</t>
  </si>
  <si>
    <t>info@cinarcik.bel.tr</t>
  </si>
  <si>
    <t>www.cinarcik.bel.tr</t>
  </si>
  <si>
    <t>Çiftlikköy</t>
  </si>
  <si>
    <t>Adil Yele</t>
  </si>
  <si>
    <t>Çiftlik Mah. Yalova-İzmit Karayolu No:110, Çiftlikköy/Yalova</t>
  </si>
  <si>
    <t>444 8 912</t>
  </si>
  <si>
    <t>cozummerkezi@yalovaciftlikkoy.bel.tr</t>
  </si>
  <si>
    <t>www.yalovaciftlikkoy.bel.tr</t>
  </si>
  <si>
    <t>Termal</t>
  </si>
  <si>
    <t>H. Sinan Acar</t>
  </si>
  <si>
    <t>Gökçedere Mah. Yaşar Okuyan Cad., Termal/Yalova</t>
  </si>
  <si>
    <t>0226 675 70 79</t>
  </si>
  <si>
    <t>info@termal.bel.tr</t>
  </si>
  <si>
    <t>termal.bel.tr</t>
  </si>
  <si>
    <t>Karabük</t>
  </si>
  <si>
    <t>Özkan ÇETİNKAYA</t>
  </si>
  <si>
    <t>Bayır Mh. Menderes Cd. No: 4 Merkez/KARABÜK</t>
  </si>
  <si>
    <t>444 21 78</t>
  </si>
  <si>
    <t>karabuk@karabuk.bel.tr</t>
  </si>
  <si>
    <t>www.karabuk.bel.tr</t>
  </si>
  <si>
    <t>Eflani</t>
  </si>
  <si>
    <t>Hüsnü AKIN</t>
  </si>
  <si>
    <t>0(370) 461 20 12</t>
  </si>
  <si>
    <t>eflanibld@gmail.com</t>
  </si>
  <si>
    <t>www.eflani.bel.tr</t>
  </si>
  <si>
    <t>Eskipazar</t>
  </si>
  <si>
    <t>Serkan CIVA</t>
  </si>
  <si>
    <t>Merkez Mahallesi Cumhuriyet Caddesi No:33 Eskipazar/KARABÜK 78400</t>
  </si>
  <si>
    <t>0370 818 10 28</t>
  </si>
  <si>
    <t>www.eskipazar.bel.tr</t>
  </si>
  <si>
    <t>Ahmet ŞAHİN</t>
  </si>
  <si>
    <t>Merkez Mah. Esenler Cad. No:4 Ovacık/KARABÜK</t>
  </si>
  <si>
    <t>0370 877 11 27</t>
  </si>
  <si>
    <t>ovacikbldbaskanligi@hotmail.com</t>
  </si>
  <si>
    <t>www.ovacik.bel.tr</t>
  </si>
  <si>
    <t>Safranbolu</t>
  </si>
  <si>
    <t>Elif KÖSE</t>
  </si>
  <si>
    <t>Yeni Mah. Sadri Artuç Cad. Belediye İş Merkezi 78600 Safranbolu/Karabük</t>
  </si>
  <si>
    <t>444 50 78</t>
  </si>
  <si>
    <t>belediye@safranbolu.bel.tr</t>
  </si>
  <si>
    <t>www.safranbolu.bel.tr</t>
  </si>
  <si>
    <t>Şekip Sertaş KARAKAŞ</t>
  </si>
  <si>
    <t>Merkez Mah. Hitit Sokak No:1/31 78700 Yenice/Karabük</t>
  </si>
  <si>
    <t>0370 766 11 11</t>
  </si>
  <si>
    <t>yenicebelediyebaskanligi@hs01.kep.tr</t>
  </si>
  <si>
    <t>www.yenice.bel.tr</t>
  </si>
  <si>
    <t>Kilis</t>
  </si>
  <si>
    <t>Av. Hakan Bilecen</t>
  </si>
  <si>
    <t>Yavuz Sultan Selim Mah. İlhami Toprak Cad. No:7, Kilis</t>
  </si>
  <si>
    <t>www.kilis.bel.tr</t>
  </si>
  <si>
    <t>Elbeyli</t>
  </si>
  <si>
    <t>İsmail Kördeve</t>
  </si>
  <si>
    <t>Hürriyet Mah. Okul Cad. No:2, 79500 Elbeyli / Kilis</t>
  </si>
  <si>
    <t>(0348) 782 23 53</t>
  </si>
  <si>
    <t>elbeyli.bel.tr</t>
  </si>
  <si>
    <t>Musabeyli</t>
  </si>
  <si>
    <t>Mehmet Ölmez</t>
  </si>
  <si>
    <t>Pınar Mah. Fevzi Çakmak Bul. No:11/1, Musabeyli / Kilis</t>
  </si>
  <si>
    <t>info@musabeyli.bel.tr</t>
  </si>
  <si>
    <t>www.musabeyli.bel.tr</t>
  </si>
  <si>
    <t>Polateli</t>
  </si>
  <si>
    <t>Cumhuriyet Mah. Atatürk Meydanı, Pk:79700 Polateli / Kilis</t>
  </si>
  <si>
    <t>(0348) 725 12 56</t>
  </si>
  <si>
    <t>info@polatelibelediyesi.bel.tr</t>
  </si>
  <si>
    <t>www.polatelibelediyesi.bel.tr</t>
  </si>
  <si>
    <t>Osmaniye</t>
  </si>
  <si>
    <t>İbrahim Çenet</t>
  </si>
  <si>
    <t>Rahime Hatun Mahallesi Musa Şahin Bulvarı No:375 Osmaniye/OSMANİYE</t>
  </si>
  <si>
    <t>0 (328) 440 00 80</t>
  </si>
  <si>
    <t>osmaniyebelediyesi@osmaniye-bld.gov.tr</t>
  </si>
  <si>
    <t>www.osmaniye-bld.gov.tr</t>
  </si>
  <si>
    <t>Bahçe</t>
  </si>
  <si>
    <t>Zeynel Mete Kadıoğlu</t>
  </si>
  <si>
    <t>İslam Mah. Atatürk Cad. Milli İrade Meydanı Bahçe/OSMANİYE</t>
  </si>
  <si>
    <t>0 (328) 861 20 09</t>
  </si>
  <si>
    <t>iletisim@bahce.bel.tr</t>
  </si>
  <si>
    <t>www.bahce.bel.tr</t>
  </si>
  <si>
    <t>Düziçi</t>
  </si>
  <si>
    <t>Mustafa İba</t>
  </si>
  <si>
    <t>Hürriyet Mahallesi Refik Cesur Bulvarı No:380 Düziçi/OSMANİYE</t>
  </si>
  <si>
    <t>0 (328) 876 13 99</t>
  </si>
  <si>
    <t>bilgi@duzici.bel.tr</t>
  </si>
  <si>
    <t>www.duzici.bel.tr</t>
  </si>
  <si>
    <t>Hasanbeyli</t>
  </si>
  <si>
    <t>Şevket Yumrutepe*</t>
  </si>
  <si>
    <t>Merkez Mah. Atatürk Cad. No:133 Hasanbeyli/OSMANİYE</t>
  </si>
  <si>
    <t>www.hasanbeyli.bel.tr</t>
  </si>
  <si>
    <t>Kadirli</t>
  </si>
  <si>
    <t>Mustafa Mert Olcar</t>
  </si>
  <si>
    <t>Ş. Vedat Kocaadalı Mah. Kamil Kara Bulvarı No:357 Kadirli/OSMANİYE</t>
  </si>
  <si>
    <t>0 (328) 718 10 39</t>
  </si>
  <si>
    <t>belediye@kadirli.bel.tr</t>
  </si>
  <si>
    <t>www.kadirli.bel.tr</t>
  </si>
  <si>
    <t>Sumbas</t>
  </si>
  <si>
    <t>Zeki Demiröğlu</t>
  </si>
  <si>
    <t>Döğenli Mah. Hükümet Cad. No:91 Sumbas/OSMANİYE</t>
  </si>
  <si>
    <t>0 (328) 784 83 77</t>
  </si>
  <si>
    <t>belediye@sumbas.bel.tr</t>
  </si>
  <si>
    <t>www.sumbas.bel.tr</t>
  </si>
  <si>
    <t>Toprakkale</t>
  </si>
  <si>
    <t>Bekirhan Uyutmaz</t>
  </si>
  <si>
    <t>Karataş Mahallesi Kurtuluş Sk. Pk:80950 Toprakkale/OSMANİYE</t>
  </si>
  <si>
    <t>0 (328) 633 25 00</t>
  </si>
  <si>
    <t>toprakkalebelediyebaskanligi@gmail.com</t>
  </si>
  <si>
    <t>www.toprakkale.bel.tr</t>
  </si>
  <si>
    <t>Düzce</t>
  </si>
  <si>
    <t>Merkez (Düzce)</t>
  </si>
  <si>
    <t>Dr. Faruk ÖZLÜ</t>
  </si>
  <si>
    <t>Çiftepınarlar Mah. Konuralp Ali Hamza Sk. No:18 Konuralp/DÜZCE</t>
  </si>
  <si>
    <t>0 380 524 58 21</t>
  </si>
  <si>
    <t>info@duzce.bel.tr</t>
  </si>
  <si>
    <t>https://duzce.bel.tr</t>
  </si>
  <si>
    <t>Akçakoca</t>
  </si>
  <si>
    <t>Fikret Albayrak *</t>
  </si>
  <si>
    <t>Yalı Mah. İnönü Cd. No:45, 81650 Akçakoca/Düzce</t>
  </si>
  <si>
    <t>belediye@akcakoca.bel.tr</t>
  </si>
  <si>
    <t>https://www.akcakoca.bel.tr</t>
  </si>
  <si>
    <t>Cumayeri</t>
  </si>
  <si>
    <t>Mustafa Koloğlu</t>
  </si>
  <si>
    <t>Çevrik Mah. Yılmaz Sok. No:11 Belediye İş Merkezi Kat:2</t>
  </si>
  <si>
    <t>info@cumayeri.bel.tr</t>
  </si>
  <si>
    <t>https://www.cumayeri.bel.tr</t>
  </si>
  <si>
    <t>Çilimli</t>
  </si>
  <si>
    <t>Yılmaz Yıldız</t>
  </si>
  <si>
    <t>Ulucami Mah. Şehit Fikri Öztürk Cad. Pazaryeri Sk. No:01 81750 Çilimli/Düzce</t>
  </si>
  <si>
    <t>bilgi@cilimli.bel.tr</t>
  </si>
  <si>
    <t>https://www.cilimli.bel.tr</t>
  </si>
  <si>
    <t>Gölyaka</t>
  </si>
  <si>
    <t>Muzaffer COŞKUN</t>
  </si>
  <si>
    <t>Kültür Mah. Cumhuriyet Cad. No:45, 81800 Gölyaka/Düzce</t>
  </si>
  <si>
    <t>444 8 721</t>
  </si>
  <si>
    <t>bilgi@golyaka.bel.tr</t>
  </si>
  <si>
    <t>https://www.golyaka.bel.tr</t>
  </si>
  <si>
    <t>Gümüşova</t>
  </si>
  <si>
    <t>Kenan Sübekci</t>
  </si>
  <si>
    <t>0 380 731 20 05</t>
  </si>
  <si>
    <t>bilgi@gumusova.bel.tr</t>
  </si>
  <si>
    <t>https://www.gumusova.bel.tr</t>
  </si>
  <si>
    <t>Kaynaşlı</t>
  </si>
  <si>
    <t>Efdal Altundal</t>
  </si>
  <si>
    <t>Merkez Mah. Kültür Cd. No:5 Kaynaşlı/Düzce</t>
  </si>
  <si>
    <t>kaynasli@kaynasli.bel.tr</t>
  </si>
  <si>
    <t>http://www.kaynasli.bel.tr</t>
  </si>
  <si>
    <t>Yığılca</t>
  </si>
  <si>
    <t>Selami Savaş</t>
  </si>
  <si>
    <t>Atatürk Mah. Atatürk Cad. No:17 Yığılca/Düzce</t>
  </si>
  <si>
    <t>https://yigilca.bel.tr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</si>
</sst>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 mm dd"/>
  </numFmts>
  <fonts count="89">
    <font>
      <sz val="10.0"/>
      <color rgb="FF000000"/>
      <name val="Arial"/>
      <scheme val="minor"/>
    </font>
    <font>
      <b/>
      <sz val="11.0"/>
      <color rgb="FFFFFFFF"/>
      <name val="Arial"/>
    </font>
    <font>
      <color theme="1"/>
      <name val="Arial"/>
      <scheme val="minor"/>
    </font>
    <font>
      <color theme="1"/>
      <name val="Arial"/>
    </font>
    <font>
      <sz val="12.0"/>
      <color theme="1"/>
      <name val="Aptos Narrow"/>
    </font>
    <font>
      <sz val="9.0"/>
      <color theme="1"/>
      <name val="Monospace"/>
    </font>
    <font>
      <sz val="9.0"/>
      <color theme="1"/>
      <name val="Arial"/>
    </font>
    <font>
      <u/>
      <color rgb="FF0000FF"/>
      <name val="Arial"/>
    </font>
    <font>
      <u/>
      <sz val="9.0"/>
      <color rgb="FF0000FF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sz val="11.0"/>
      <color rgb="FF0000FF"/>
      <name val="Calibri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1F4E79"/>
      <name val="Arial"/>
    </font>
    <font>
      <u/>
      <color rgb="FF1F4E79"/>
      <name val="Arial"/>
    </font>
    <font>
      <u/>
      <color rgb="FF1F4E79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color theme="1"/>
      <name val="Calibri"/>
    </font>
    <font>
      <u/>
      <color rgb="FF0000FF"/>
      <name val="Calibri"/>
    </font>
    <font>
      <u/>
      <color rgb="FF0000FF"/>
      <name val="Calibri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Calibri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Calibri"/>
    </font>
    <font>
      <u/>
      <color rgb="FF0000FF"/>
      <name val="Calibri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  <font>
      <u/>
      <color rgb="FF0000FF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DCE6F1"/>
        <bgColor rgb="FFDCE6F1"/>
      </patternFill>
    </fill>
    <fill>
      <patternFill patternType="solid">
        <fgColor rgb="FFEBF1DE"/>
        <bgColor rgb="FFEBF1DE"/>
      </patternFill>
    </fill>
    <fill>
      <patternFill patternType="solid">
        <fgColor rgb="FFFFFFFF"/>
        <bgColor rgb="FFFFFFFF"/>
      </patternFill>
    </fill>
    <fill>
      <patternFill patternType="solid">
        <fgColor rgb="FFDEEAF1"/>
        <bgColor rgb="FFDEEAF1"/>
      </patternFill>
    </fill>
    <fill>
      <patternFill patternType="solid">
        <fgColor rgb="FFD6E4F0"/>
        <bgColor rgb="FFD6E4F0"/>
      </patternFill>
    </fill>
    <fill>
      <patternFill patternType="solid">
        <fgColor rgb="FFEBF3FB"/>
        <bgColor rgb="FFEBF3FB"/>
      </patternFill>
    </fill>
    <fill>
      <patternFill patternType="solid">
        <fgColor rgb="FFEBF0FA"/>
        <bgColor rgb="FFEBF0FA"/>
      </patternFill>
    </fill>
    <fill>
      <patternFill patternType="solid">
        <fgColor rgb="FFEBF3FF"/>
        <bgColor rgb="FFEBF3FF"/>
      </patternFill>
    </fill>
    <fill>
      <patternFill patternType="solid">
        <fgColor rgb="FFD9E1F2"/>
        <bgColor rgb="FFD9E1F2"/>
      </patternFill>
    </fill>
    <fill>
      <patternFill patternType="solid">
        <fgColor rgb="FFEBF5FB"/>
        <bgColor rgb="FFEBF5FB"/>
      </patternFill>
    </fill>
    <fill>
      <patternFill patternType="solid">
        <fgColor rgb="FFBDD7EE"/>
        <bgColor rgb="FFBDD7EE"/>
      </patternFill>
    </fill>
    <fill>
      <patternFill patternType="solid">
        <fgColor rgb="FFF2F6FA"/>
        <bgColor rgb="FFF2F6FA"/>
      </patternFill>
    </fill>
    <fill>
      <patternFill patternType="solid">
        <fgColor rgb="FFF2F2F2"/>
        <bgColor rgb="FFF2F2F2"/>
      </patternFill>
    </fill>
    <fill>
      <patternFill patternType="solid">
        <fgColor rgb="FFFFF2CC"/>
        <bgColor rgb="FFFFF2CC"/>
      </patternFill>
    </fill>
    <fill>
      <patternFill patternType="solid">
        <fgColor rgb="FFEEF2F7"/>
        <bgColor rgb="FFEEF2F7"/>
      </patternFill>
    </fill>
    <fill>
      <patternFill patternType="solid">
        <fgColor rgb="FFDDEEFF"/>
        <bgColor rgb="FFDDEEFF"/>
      </patternFill>
    </fill>
  </fills>
  <borders count="12">
    <border/>
    <border>
      <left/>
      <right/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</border>
  </borders>
  <cellStyleXfs count="1">
    <xf borderId="0" fillId="0" fontId="0" numFmtId="0" applyAlignment="1" applyFont="1"/>
  </cellStyleXfs>
  <cellXfs count="2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0" fillId="0" fontId="2" numFmtId="0" xfId="0" applyAlignment="1" applyFont="1">
      <alignment readingOrder="0"/>
    </xf>
    <xf borderId="2" fillId="3" fontId="3" numFmtId="0" xfId="0" applyAlignment="1" applyBorder="1" applyFill="1" applyFont="1">
      <alignment shrinkToFit="0" wrapText="1"/>
    </xf>
    <xf borderId="0" fillId="0" fontId="2" numFmtId="0" xfId="0" applyFont="1"/>
    <xf borderId="2" fillId="3" fontId="4" numFmtId="0" xfId="0" applyBorder="1" applyFont="1"/>
    <xf borderId="2" fillId="4" fontId="3" numFmtId="0" xfId="0" applyAlignment="1" applyBorder="1" applyFill="1" applyFont="1">
      <alignment shrinkToFit="0" wrapText="1"/>
    </xf>
    <xf borderId="2" fillId="4" fontId="3" numFmtId="0" xfId="0" applyAlignment="1" applyBorder="1" applyFont="1">
      <alignment readingOrder="0" shrinkToFit="0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7" numFmtId="0" xfId="0" applyAlignment="1" applyFont="1">
      <alignment readingOrder="0" vertical="bottom"/>
    </xf>
    <xf borderId="0" fillId="0" fontId="8" numFmtId="0" xfId="0" applyAlignment="1" applyFont="1">
      <alignment readingOrder="0" vertical="bottom"/>
    </xf>
    <xf borderId="0" fillId="0" fontId="2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2" fillId="3" fontId="3" numFmtId="0" xfId="0" applyAlignment="1" applyBorder="1" applyFont="1">
      <alignment horizontal="left" readingOrder="0"/>
    </xf>
    <xf borderId="2" fillId="3" fontId="12" numFmtId="0" xfId="0" applyAlignment="1" applyBorder="1" applyFont="1">
      <alignment horizontal="left" readingOrder="0"/>
    </xf>
    <xf borderId="2" fillId="5" fontId="3" numFmtId="0" xfId="0" applyAlignment="1" applyBorder="1" applyFill="1" applyFont="1">
      <alignment horizontal="left" readingOrder="0"/>
    </xf>
    <xf borderId="2" fillId="5" fontId="13" numFmtId="0" xfId="0" applyAlignment="1" applyBorder="1" applyFont="1">
      <alignment horizontal="left" readingOrder="0"/>
    </xf>
    <xf borderId="2" fillId="3" fontId="3" numFmtId="0" xfId="0" applyAlignment="1" applyBorder="1" applyFont="1">
      <alignment horizontal="left"/>
    </xf>
    <xf borderId="3" fillId="6" fontId="3" numFmtId="0" xfId="0" applyAlignment="1" applyBorder="1" applyFill="1" applyFont="1">
      <alignment readingOrder="0"/>
    </xf>
    <xf borderId="3" fillId="6" fontId="3" numFmtId="0" xfId="0" applyBorder="1" applyFont="1"/>
    <xf borderId="3" fillId="6" fontId="14" numFmtId="0" xfId="0" applyAlignment="1" applyBorder="1" applyFont="1">
      <alignment readingOrder="0"/>
    </xf>
    <xf borderId="3" fillId="5" fontId="3" numFmtId="0" xfId="0" applyAlignment="1" applyBorder="1" applyFont="1">
      <alignment readingOrder="0"/>
    </xf>
    <xf borderId="3" fillId="5" fontId="15" numFmtId="0" xfId="0" applyAlignment="1" applyBorder="1" applyFont="1">
      <alignment readingOrder="0"/>
    </xf>
    <xf borderId="3" fillId="3" fontId="3" numFmtId="0" xfId="0" applyAlignment="1" applyBorder="1" applyFont="1">
      <alignment readingOrder="0"/>
    </xf>
    <xf borderId="3" fillId="3" fontId="16" numFmtId="0" xfId="0" applyAlignment="1" applyBorder="1" applyFont="1">
      <alignment readingOrder="0"/>
    </xf>
    <xf borderId="3" fillId="5" fontId="3" numFmtId="0" xfId="0" applyAlignment="1" applyBorder="1" applyFont="1">
      <alignment readingOrder="0"/>
    </xf>
    <xf borderId="3" fillId="5" fontId="17" numFmtId="0" xfId="0" applyAlignment="1" applyBorder="1" applyFont="1">
      <alignment readingOrder="0"/>
    </xf>
    <xf borderId="2" fillId="3" fontId="3" numFmtId="0" xfId="0" applyAlignment="1" applyBorder="1" applyFont="1">
      <alignment horizontal="center" readingOrder="0"/>
    </xf>
    <xf borderId="2" fillId="5" fontId="3" numFmtId="0" xfId="0" applyAlignment="1" applyBorder="1" applyFont="1">
      <alignment horizontal="center" readingOrder="0"/>
    </xf>
    <xf borderId="2" fillId="0" fontId="18" numFmtId="0" xfId="0" applyAlignment="1" applyBorder="1" applyFont="1">
      <alignment horizontal="left" readingOrder="0"/>
    </xf>
    <xf borderId="4" fillId="7" fontId="3" numFmtId="0" xfId="0" applyAlignment="1" applyBorder="1" applyFill="1" applyFont="1">
      <alignment readingOrder="0"/>
    </xf>
    <xf borderId="4" fillId="7" fontId="19" numFmtId="0" xfId="0" applyAlignment="1" applyBorder="1" applyFont="1">
      <alignment readingOrder="0"/>
    </xf>
    <xf borderId="4" fillId="5" fontId="3" numFmtId="0" xfId="0" applyAlignment="1" applyBorder="1" applyFont="1">
      <alignment readingOrder="0"/>
    </xf>
    <xf borderId="4" fillId="5" fontId="20" numFmtId="0" xfId="0" applyAlignment="1" applyBorder="1" applyFont="1">
      <alignment readingOrder="0"/>
    </xf>
    <xf borderId="2" fillId="3" fontId="3" numFmtId="0" xfId="0" applyAlignment="1" applyBorder="1" applyFont="1">
      <alignment readingOrder="0"/>
    </xf>
    <xf borderId="2" fillId="3" fontId="21" numFmtId="0" xfId="0" applyAlignment="1" applyBorder="1" applyFont="1">
      <alignment readingOrder="0"/>
    </xf>
    <xf borderId="2" fillId="5" fontId="3" numFmtId="0" xfId="0" applyAlignment="1" applyBorder="1" applyFont="1">
      <alignment readingOrder="0"/>
    </xf>
    <xf borderId="2" fillId="5" fontId="22" numFmtId="0" xfId="0" applyAlignment="1" applyBorder="1" applyFont="1">
      <alignment readingOrder="0"/>
    </xf>
    <xf borderId="2" fillId="5" fontId="3" numFmtId="0" xfId="0" applyBorder="1" applyFont="1"/>
    <xf borderId="5" fillId="7" fontId="3" numFmtId="0" xfId="0" applyAlignment="1" applyBorder="1" applyFont="1">
      <alignment horizontal="center" readingOrder="0" shrinkToFit="0" wrapText="0"/>
    </xf>
    <xf borderId="5" fillId="7" fontId="3" numFmtId="0" xfId="0" applyAlignment="1" applyBorder="1" applyFont="1">
      <alignment horizontal="left" readingOrder="0"/>
    </xf>
    <xf borderId="5" fillId="7" fontId="23" numFmtId="0" xfId="0" applyAlignment="1" applyBorder="1" applyFont="1">
      <alignment horizontal="left" readingOrder="0"/>
    </xf>
    <xf borderId="5" fillId="5" fontId="3" numFmtId="0" xfId="0" applyAlignment="1" applyBorder="1" applyFont="1">
      <alignment horizontal="center" readingOrder="0" shrinkToFit="0" wrapText="0"/>
    </xf>
    <xf borderId="5" fillId="5" fontId="3" numFmtId="0" xfId="0" applyAlignment="1" applyBorder="1" applyFont="1">
      <alignment horizontal="left" readingOrder="0"/>
    </xf>
    <xf borderId="5" fillId="5" fontId="24" numFmtId="0" xfId="0" applyAlignment="1" applyBorder="1" applyFont="1">
      <alignment horizontal="left" readingOrder="0"/>
    </xf>
    <xf borderId="5" fillId="5" fontId="3" numFmtId="0" xfId="0" applyAlignment="1" applyBorder="1" applyFont="1">
      <alignment horizontal="left"/>
    </xf>
    <xf borderId="5" fillId="7" fontId="3" numFmtId="0" xfId="0" applyAlignment="1" applyBorder="1" applyFont="1">
      <alignment horizontal="left"/>
    </xf>
    <xf borderId="5" fillId="7" fontId="25" numFmtId="0" xfId="0" applyAlignment="1" applyBorder="1" applyFont="1">
      <alignment horizontal="left" readingOrder="0"/>
    </xf>
    <xf borderId="5" fillId="5" fontId="26" numFmtId="0" xfId="0" applyAlignment="1" applyBorder="1" applyFont="1">
      <alignment horizontal="left" readingOrder="0"/>
    </xf>
    <xf borderId="5" fillId="7" fontId="3" numFmtId="164" xfId="0" applyAlignment="1" applyBorder="1" applyFont="1" applyNumberFormat="1">
      <alignment horizontal="left" readingOrder="0"/>
    </xf>
    <xf borderId="6" fillId="8" fontId="3" numFmtId="0" xfId="0" applyAlignment="1" applyBorder="1" applyFill="1" applyFont="1">
      <alignment readingOrder="0"/>
    </xf>
    <xf borderId="6" fillId="8" fontId="27" numFmtId="0" xfId="0" applyAlignment="1" applyBorder="1" applyFont="1">
      <alignment readingOrder="0"/>
    </xf>
    <xf borderId="6" fillId="5" fontId="3" numFmtId="0" xfId="0" applyAlignment="1" applyBorder="1" applyFont="1">
      <alignment readingOrder="0"/>
    </xf>
    <xf borderId="6" fillId="5" fontId="28" numFmtId="0" xfId="0" applyAlignment="1" applyBorder="1" applyFont="1">
      <alignment readingOrder="0"/>
    </xf>
    <xf borderId="6" fillId="8" fontId="3" numFmtId="0" xfId="0" applyBorder="1" applyFont="1"/>
    <xf borderId="6" fillId="8" fontId="29" numFmtId="0" xfId="0" applyAlignment="1" applyBorder="1" applyFont="1">
      <alignment readingOrder="0"/>
    </xf>
    <xf borderId="6" fillId="5" fontId="3" numFmtId="0" xfId="0" applyBorder="1" applyFont="1"/>
    <xf borderId="0" fillId="9" fontId="3" numFmtId="0" xfId="0" applyAlignment="1" applyFill="1" applyFont="1">
      <alignment readingOrder="0"/>
    </xf>
    <xf borderId="0" fillId="9" fontId="30" numFmtId="0" xfId="0" applyAlignment="1" applyFont="1">
      <alignment readingOrder="0"/>
    </xf>
    <xf borderId="0" fillId="5" fontId="3" numFmtId="0" xfId="0" applyAlignment="1" applyFont="1">
      <alignment readingOrder="0"/>
    </xf>
    <xf borderId="0" fillId="5" fontId="31" numFmtId="0" xfId="0" applyAlignment="1" applyFont="1">
      <alignment readingOrder="0"/>
    </xf>
    <xf borderId="0" fillId="9" fontId="3" numFmtId="0" xfId="0" applyFont="1"/>
    <xf borderId="0" fillId="5" fontId="3" numFmtId="0" xfId="0" applyFont="1"/>
    <xf borderId="2" fillId="5" fontId="3" numFmtId="0" xfId="0" applyAlignment="1" applyBorder="1" applyFont="1">
      <alignment horizontal="left"/>
    </xf>
    <xf borderId="2" fillId="10" fontId="3" numFmtId="0" xfId="0" applyAlignment="1" applyBorder="1" applyFill="1" applyFont="1">
      <alignment horizontal="left" readingOrder="0"/>
    </xf>
    <xf borderId="2" fillId="10" fontId="32" numFmtId="0" xfId="0" applyAlignment="1" applyBorder="1" applyFont="1">
      <alignment horizontal="left" readingOrder="0"/>
    </xf>
    <xf borderId="7" fillId="7" fontId="3" numFmtId="0" xfId="0" applyAlignment="1" applyBorder="1" applyFont="1">
      <alignment readingOrder="0"/>
    </xf>
    <xf borderId="7" fillId="7" fontId="33" numFmtId="0" xfId="0" applyAlignment="1" applyBorder="1" applyFont="1">
      <alignment readingOrder="0"/>
    </xf>
    <xf borderId="7" fillId="5" fontId="3" numFmtId="0" xfId="0" applyAlignment="1" applyBorder="1" applyFont="1">
      <alignment readingOrder="0"/>
    </xf>
    <xf borderId="7" fillId="5" fontId="34" numFmtId="0" xfId="0" applyAlignment="1" applyBorder="1" applyFont="1">
      <alignment readingOrder="0"/>
    </xf>
    <xf borderId="7" fillId="7" fontId="3" numFmtId="0" xfId="0" applyBorder="1" applyFont="1"/>
    <xf borderId="7" fillId="5" fontId="3" numFmtId="0" xfId="0" applyBorder="1" applyFont="1"/>
    <xf borderId="2" fillId="11" fontId="3" numFmtId="0" xfId="0" applyAlignment="1" applyBorder="1" applyFill="1" applyFont="1">
      <alignment readingOrder="0"/>
    </xf>
    <xf borderId="2" fillId="11" fontId="3" numFmtId="0" xfId="0" applyBorder="1" applyFont="1"/>
    <xf borderId="2" fillId="11" fontId="35" numFmtId="0" xfId="0" applyAlignment="1" applyBorder="1" applyFont="1">
      <alignment readingOrder="0"/>
    </xf>
    <xf borderId="2" fillId="0" fontId="3" numFmtId="0" xfId="0" applyAlignment="1" applyBorder="1" applyFont="1">
      <alignment readingOrder="0"/>
    </xf>
    <xf borderId="2" fillId="0" fontId="36" numFmtId="0" xfId="0" applyAlignment="1" applyBorder="1" applyFont="1">
      <alignment readingOrder="0"/>
    </xf>
    <xf borderId="2" fillId="0" fontId="3" numFmtId="0" xfId="0" applyBorder="1" applyFont="1"/>
    <xf borderId="7" fillId="6" fontId="3" numFmtId="0" xfId="0" applyAlignment="1" applyBorder="1" applyFont="1">
      <alignment readingOrder="0"/>
    </xf>
    <xf borderId="7" fillId="6" fontId="37" numFmtId="0" xfId="0" applyAlignment="1" applyBorder="1" applyFont="1">
      <alignment readingOrder="0"/>
    </xf>
    <xf borderId="7" fillId="6" fontId="3" numFmtId="0" xfId="0" applyBorder="1" applyFont="1"/>
    <xf borderId="8" fillId="3" fontId="3" numFmtId="0" xfId="0" applyAlignment="1" applyBorder="1" applyFont="1">
      <alignment readingOrder="0"/>
    </xf>
    <xf borderId="8" fillId="3" fontId="38" numFmtId="0" xfId="0" applyAlignment="1" applyBorder="1" applyFont="1">
      <alignment readingOrder="0"/>
    </xf>
    <xf borderId="8" fillId="0" fontId="3" numFmtId="0" xfId="0" applyAlignment="1" applyBorder="1" applyFont="1">
      <alignment readingOrder="0"/>
    </xf>
    <xf borderId="8" fillId="0" fontId="39" numFmtId="0" xfId="0" applyAlignment="1" applyBorder="1" applyFont="1">
      <alignment readingOrder="0"/>
    </xf>
    <xf borderId="8" fillId="3" fontId="3" numFmtId="0" xfId="0" applyBorder="1" applyFont="1"/>
    <xf borderId="8" fillId="0" fontId="3" numFmtId="0" xfId="0" applyBorder="1" applyFont="1"/>
    <xf borderId="7" fillId="3" fontId="3" numFmtId="0" xfId="0" applyAlignment="1" applyBorder="1" applyFont="1">
      <alignment readingOrder="0"/>
    </xf>
    <xf borderId="7" fillId="3" fontId="40" numFmtId="0" xfId="0" applyAlignment="1" applyBorder="1" applyFont="1">
      <alignment readingOrder="0"/>
    </xf>
    <xf borderId="0" fillId="8" fontId="3" numFmtId="0" xfId="0" applyAlignment="1" applyFont="1">
      <alignment readingOrder="0"/>
    </xf>
    <xf borderId="0" fillId="8" fontId="41" numFmtId="0" xfId="0" applyAlignment="1" applyFont="1">
      <alignment readingOrder="0"/>
    </xf>
    <xf borderId="3" fillId="7" fontId="3" numFmtId="0" xfId="0" applyAlignment="1" applyBorder="1" applyFont="1">
      <alignment readingOrder="0"/>
    </xf>
    <xf borderId="3" fillId="7" fontId="42" numFmtId="0" xfId="0" applyAlignment="1" applyBorder="1" applyFont="1">
      <alignment readingOrder="0"/>
    </xf>
    <xf borderId="3" fillId="12" fontId="3" numFmtId="0" xfId="0" applyAlignment="1" applyBorder="1" applyFill="1" applyFont="1">
      <alignment readingOrder="0"/>
    </xf>
    <xf borderId="3" fillId="12" fontId="3" numFmtId="0" xfId="0" applyBorder="1" applyFont="1"/>
    <xf borderId="3" fillId="12" fontId="43" numFmtId="0" xfId="0" applyAlignment="1" applyBorder="1" applyFont="1">
      <alignment readingOrder="0"/>
    </xf>
    <xf borderId="3" fillId="12" fontId="44" numFmtId="0" xfId="0" applyAlignment="1" applyBorder="1" applyFont="1">
      <alignment readingOrder="0"/>
    </xf>
    <xf borderId="3" fillId="7" fontId="3" numFmtId="0" xfId="0" applyBorder="1" applyFont="1"/>
    <xf borderId="7" fillId="13" fontId="3" numFmtId="0" xfId="0" applyAlignment="1" applyBorder="1" applyFill="1" applyFont="1">
      <alignment readingOrder="0"/>
    </xf>
    <xf borderId="7" fillId="13" fontId="45" numFmtId="0" xfId="0" applyAlignment="1" applyBorder="1" applyFont="1">
      <alignment readingOrder="0"/>
    </xf>
    <xf borderId="2" fillId="3" fontId="46" numFmtId="0" xfId="0" applyAlignment="1" applyBorder="1" applyFont="1">
      <alignment horizontal="center" readingOrder="0"/>
    </xf>
    <xf borderId="2" fillId="5" fontId="47" numFmtId="0" xfId="0" applyAlignment="1" applyBorder="1" applyFont="1">
      <alignment horizontal="center" readingOrder="0"/>
    </xf>
    <xf borderId="2" fillId="3" fontId="3" numFmtId="0" xfId="0" applyBorder="1" applyFont="1"/>
    <xf borderId="2" fillId="3" fontId="3" numFmtId="0" xfId="0" applyAlignment="1" applyBorder="1" applyFont="1">
      <alignment horizontal="center"/>
    </xf>
    <xf borderId="2" fillId="5" fontId="3" numFmtId="0" xfId="0" applyAlignment="1" applyBorder="1" applyFont="1">
      <alignment horizontal="center"/>
    </xf>
    <xf borderId="3" fillId="5" fontId="3" numFmtId="0" xfId="0" applyBorder="1" applyFont="1"/>
    <xf borderId="2" fillId="8" fontId="3" numFmtId="0" xfId="0" applyAlignment="1" applyBorder="1" applyFont="1">
      <alignment readingOrder="0"/>
    </xf>
    <xf borderId="2" fillId="8" fontId="48" numFmtId="0" xfId="0" applyAlignment="1" applyBorder="1" applyFont="1">
      <alignment readingOrder="0"/>
    </xf>
    <xf borderId="2" fillId="8" fontId="3" numFmtId="0" xfId="0" applyBorder="1" applyFont="1"/>
    <xf borderId="2" fillId="5" fontId="49" numFmtId="0" xfId="0" applyAlignment="1" applyBorder="1" applyFont="1">
      <alignment readingOrder="0"/>
    </xf>
    <xf borderId="9" fillId="14" fontId="3" numFmtId="0" xfId="0" applyAlignment="1" applyBorder="1" applyFill="1" applyFont="1">
      <alignment horizontal="left" readingOrder="0"/>
    </xf>
    <xf borderId="9" fillId="14" fontId="50" numFmtId="0" xfId="0" applyAlignment="1" applyBorder="1" applyFont="1">
      <alignment horizontal="left" readingOrder="0"/>
    </xf>
    <xf borderId="9" fillId="0" fontId="3" numFmtId="0" xfId="0" applyAlignment="1" applyBorder="1" applyFont="1">
      <alignment horizontal="left" readingOrder="0"/>
    </xf>
    <xf borderId="9" fillId="0" fontId="51" numFmtId="0" xfId="0" applyAlignment="1" applyBorder="1" applyFont="1">
      <alignment horizontal="left" readingOrder="0"/>
    </xf>
    <xf borderId="9" fillId="14" fontId="3" numFmtId="0" xfId="0" applyAlignment="1" applyBorder="1" applyFont="1">
      <alignment horizontal="left"/>
    </xf>
    <xf borderId="9" fillId="15" fontId="3" numFmtId="0" xfId="0" applyAlignment="1" applyBorder="1" applyFill="1" applyFont="1">
      <alignment horizontal="left" readingOrder="0"/>
    </xf>
    <xf borderId="9" fillId="15" fontId="52" numFmtId="0" xfId="0" applyAlignment="1" applyBorder="1" applyFont="1">
      <alignment horizontal="left" readingOrder="0"/>
    </xf>
    <xf borderId="9" fillId="0" fontId="3" numFmtId="0" xfId="0" applyAlignment="1" applyBorder="1" applyFont="1">
      <alignment horizontal="left"/>
    </xf>
    <xf borderId="9" fillId="15" fontId="3" numFmtId="0" xfId="0" applyAlignment="1" applyBorder="1" applyFont="1">
      <alignment horizontal="left"/>
    </xf>
    <xf borderId="9" fillId="15" fontId="53" numFmtId="0" xfId="0" applyAlignment="1" applyBorder="1" applyFont="1">
      <alignment horizontal="left" readingOrder="0" shrinkToFit="0" wrapText="0"/>
    </xf>
    <xf borderId="9" fillId="15" fontId="53" numFmtId="0" xfId="0" applyAlignment="1" applyBorder="1" applyFont="1">
      <alignment horizontal="left" readingOrder="0"/>
    </xf>
    <xf borderId="9" fillId="15" fontId="54" numFmtId="0" xfId="0" applyAlignment="1" applyBorder="1" applyFont="1">
      <alignment horizontal="left" readingOrder="0"/>
    </xf>
    <xf borderId="9" fillId="0" fontId="53" numFmtId="0" xfId="0" applyAlignment="1" applyBorder="1" applyFont="1">
      <alignment horizontal="left" readingOrder="0" shrinkToFit="0" wrapText="0"/>
    </xf>
    <xf borderId="9" fillId="0" fontId="53" numFmtId="0" xfId="0" applyAlignment="1" applyBorder="1" applyFont="1">
      <alignment horizontal="left" readingOrder="0"/>
    </xf>
    <xf borderId="9" fillId="0" fontId="53" numFmtId="0" xfId="0" applyAlignment="1" applyBorder="1" applyFont="1">
      <alignment horizontal="left" shrinkToFit="0" wrapText="0"/>
    </xf>
    <xf borderId="9" fillId="0" fontId="55" numFmtId="0" xfId="0" applyAlignment="1" applyBorder="1" applyFont="1">
      <alignment horizontal="left" readingOrder="0"/>
    </xf>
    <xf borderId="9" fillId="0" fontId="53" numFmtId="0" xfId="0" applyAlignment="1" applyBorder="1" applyFont="1">
      <alignment horizontal="left"/>
    </xf>
    <xf borderId="9" fillId="15" fontId="53" numFmtId="0" xfId="0" applyAlignment="1" applyBorder="1" applyFont="1">
      <alignment horizontal="left" shrinkToFit="0" wrapText="0"/>
    </xf>
    <xf borderId="8" fillId="0" fontId="3" numFmtId="0" xfId="0" applyAlignment="1" applyBorder="1" applyFont="1">
      <alignment horizontal="left" readingOrder="0"/>
    </xf>
    <xf borderId="8" fillId="0" fontId="56" numFmtId="0" xfId="0" applyAlignment="1" applyBorder="1" applyFont="1">
      <alignment horizontal="left" readingOrder="0"/>
    </xf>
    <xf borderId="8" fillId="0" fontId="3" numFmtId="0" xfId="0" applyAlignment="1" applyBorder="1" applyFont="1">
      <alignment horizontal="left"/>
    </xf>
    <xf borderId="8" fillId="0" fontId="3" numFmtId="0" xfId="0" applyAlignment="1" applyBorder="1" applyFont="1">
      <alignment horizontal="left"/>
    </xf>
    <xf borderId="2" fillId="7" fontId="3" numFmtId="0" xfId="0" applyAlignment="1" applyBorder="1" applyFont="1">
      <alignment readingOrder="0"/>
    </xf>
    <xf borderId="2" fillId="7" fontId="3" numFmtId="0" xfId="0" applyBorder="1" applyFont="1"/>
    <xf borderId="2" fillId="7" fontId="57" numFmtId="0" xfId="0" applyAlignment="1" applyBorder="1" applyFont="1">
      <alignment readingOrder="0"/>
    </xf>
    <xf borderId="10" fillId="7" fontId="3" numFmtId="0" xfId="0" applyAlignment="1" applyBorder="1" applyFont="1">
      <alignment horizontal="left" readingOrder="0"/>
    </xf>
    <xf borderId="10" fillId="7" fontId="58" numFmtId="0" xfId="0" applyAlignment="1" applyBorder="1" applyFont="1">
      <alignment horizontal="left" readingOrder="0"/>
    </xf>
    <xf borderId="10" fillId="5" fontId="3" numFmtId="0" xfId="0" applyAlignment="1" applyBorder="1" applyFont="1">
      <alignment horizontal="left" readingOrder="0"/>
    </xf>
    <xf borderId="10" fillId="5" fontId="59" numFmtId="0" xfId="0" applyAlignment="1" applyBorder="1" applyFont="1">
      <alignment horizontal="left" readingOrder="0"/>
    </xf>
    <xf borderId="10" fillId="16" fontId="3" numFmtId="0" xfId="0" applyAlignment="1" applyBorder="1" applyFill="1" applyFont="1">
      <alignment horizontal="left"/>
    </xf>
    <xf borderId="0" fillId="3" fontId="3" numFmtId="0" xfId="0" applyAlignment="1" applyFont="1">
      <alignment readingOrder="0"/>
    </xf>
    <xf borderId="0" fillId="3" fontId="60" numFmtId="0" xfId="0" applyAlignment="1" applyFont="1">
      <alignment readingOrder="0"/>
    </xf>
    <xf borderId="0" fillId="3" fontId="3" numFmtId="0" xfId="0" applyFont="1"/>
    <xf borderId="11" fillId="3" fontId="3" numFmtId="0" xfId="0" applyAlignment="1" applyBorder="1" applyFont="1">
      <alignment readingOrder="0"/>
    </xf>
    <xf borderId="11" fillId="3" fontId="61" numFmtId="0" xfId="0" applyAlignment="1" applyBorder="1" applyFont="1">
      <alignment readingOrder="0"/>
    </xf>
    <xf borderId="11" fillId="5" fontId="3" numFmtId="0" xfId="0" applyAlignment="1" applyBorder="1" applyFont="1">
      <alignment readingOrder="0"/>
    </xf>
    <xf borderId="11" fillId="5" fontId="62" numFmtId="0" xfId="0" applyAlignment="1" applyBorder="1" applyFont="1">
      <alignment readingOrder="0"/>
    </xf>
    <xf borderId="11" fillId="5" fontId="3" numFmtId="0" xfId="0" applyBorder="1" applyFont="1"/>
    <xf borderId="11" fillId="3" fontId="3" numFmtId="0" xfId="0" applyBorder="1" applyFont="1"/>
    <xf borderId="0" fillId="5" fontId="3" numFmtId="0" xfId="0" applyAlignment="1" applyFont="1">
      <alignment horizontal="left" readingOrder="0"/>
    </xf>
    <xf borderId="0" fillId="5" fontId="63" numFmtId="0" xfId="0" applyAlignment="1" applyFont="1">
      <alignment horizontal="left" readingOrder="0"/>
    </xf>
    <xf borderId="0" fillId="3" fontId="3" numFmtId="0" xfId="0" applyAlignment="1" applyFont="1">
      <alignment horizontal="left" readingOrder="0"/>
    </xf>
    <xf borderId="0" fillId="3" fontId="3" numFmtId="0" xfId="0" applyAlignment="1" applyFont="1">
      <alignment horizontal="left"/>
    </xf>
    <xf borderId="0" fillId="3" fontId="64" numFmtId="0" xfId="0" applyAlignment="1" applyFont="1">
      <alignment horizontal="left" readingOrder="0"/>
    </xf>
    <xf borderId="0" fillId="7" fontId="3" numFmtId="0" xfId="0" applyAlignment="1" applyFont="1">
      <alignment horizontal="left" readingOrder="0"/>
    </xf>
    <xf borderId="0" fillId="7" fontId="65" numFmtId="0" xfId="0" applyAlignment="1" applyFont="1">
      <alignment horizontal="left" readingOrder="0"/>
    </xf>
    <xf borderId="0" fillId="5" fontId="3" numFmtId="0" xfId="0" applyAlignment="1" applyFont="1">
      <alignment horizontal="left"/>
    </xf>
    <xf borderId="0" fillId="7" fontId="3" numFmtId="0" xfId="0" applyAlignment="1" applyFont="1">
      <alignment horizontal="left"/>
    </xf>
    <xf borderId="4" fillId="6" fontId="3" numFmtId="0" xfId="0" applyAlignment="1" applyBorder="1" applyFont="1">
      <alignment horizontal="left" readingOrder="0"/>
    </xf>
    <xf borderId="4" fillId="6" fontId="66" numFmtId="0" xfId="0" applyAlignment="1" applyBorder="1" applyFont="1">
      <alignment horizontal="left" readingOrder="0"/>
    </xf>
    <xf borderId="4" fillId="5" fontId="3" numFmtId="0" xfId="0" applyAlignment="1" applyBorder="1" applyFont="1">
      <alignment horizontal="left" readingOrder="0"/>
    </xf>
    <xf borderId="4" fillId="5" fontId="3" numFmtId="0" xfId="0" applyAlignment="1" applyBorder="1" applyFont="1">
      <alignment horizontal="left"/>
    </xf>
    <xf borderId="4" fillId="5" fontId="67" numFmtId="0" xfId="0" applyAlignment="1" applyBorder="1" applyFont="1">
      <alignment horizontal="left" readingOrder="0"/>
    </xf>
    <xf borderId="0" fillId="17" fontId="3" numFmtId="0" xfId="0" applyAlignment="1" applyFill="1" applyFont="1">
      <alignment readingOrder="0"/>
    </xf>
    <xf borderId="0" fillId="17" fontId="3" numFmtId="0" xfId="0" applyFont="1"/>
    <xf borderId="0" fillId="17" fontId="68" numFmtId="0" xfId="0" applyAlignment="1" applyFont="1">
      <alignment readingOrder="0"/>
    </xf>
    <xf borderId="3" fillId="7" fontId="3" numFmtId="0" xfId="0" applyAlignment="1" applyBorder="1" applyFont="1">
      <alignment horizontal="center" readingOrder="0"/>
    </xf>
    <xf borderId="3" fillId="7" fontId="3" numFmtId="0" xfId="0" applyAlignment="1" applyBorder="1" applyFont="1">
      <alignment horizontal="left" readingOrder="0"/>
    </xf>
    <xf borderId="3" fillId="7" fontId="69" numFmtId="0" xfId="0" applyAlignment="1" applyBorder="1" applyFont="1">
      <alignment horizontal="left" readingOrder="0"/>
    </xf>
    <xf borderId="3" fillId="5" fontId="3" numFmtId="0" xfId="0" applyAlignment="1" applyBorder="1" applyFont="1">
      <alignment horizontal="center" readingOrder="0"/>
    </xf>
    <xf borderId="3" fillId="5" fontId="3" numFmtId="0" xfId="0" applyAlignment="1" applyBorder="1" applyFont="1">
      <alignment horizontal="left" readingOrder="0"/>
    </xf>
    <xf borderId="3" fillId="5" fontId="70" numFmtId="0" xfId="0" applyAlignment="1" applyBorder="1" applyFont="1">
      <alignment horizontal="left" readingOrder="0"/>
    </xf>
    <xf borderId="3" fillId="5" fontId="3" numFmtId="0" xfId="0" applyAlignment="1" applyBorder="1" applyFont="1">
      <alignment horizontal="left"/>
    </xf>
    <xf borderId="3" fillId="7" fontId="3" numFmtId="0" xfId="0" applyAlignment="1" applyBorder="1" applyFont="1">
      <alignment horizontal="left"/>
    </xf>
    <xf borderId="3" fillId="7" fontId="3" numFmtId="0" xfId="0" applyAlignment="1" applyBorder="1" applyFont="1">
      <alignment horizontal="center"/>
    </xf>
    <xf borderId="2" fillId="7" fontId="3" numFmtId="0" xfId="0" applyAlignment="1" applyBorder="1" applyFont="1">
      <alignment horizontal="left" readingOrder="0"/>
    </xf>
    <xf borderId="2" fillId="7" fontId="71" numFmtId="0" xfId="0" applyAlignment="1" applyBorder="1" applyFont="1">
      <alignment horizontal="left" readingOrder="0"/>
    </xf>
    <xf borderId="2" fillId="7" fontId="3" numFmtId="0" xfId="0" applyAlignment="1" applyBorder="1" applyFont="1">
      <alignment horizontal="left"/>
    </xf>
    <xf borderId="3" fillId="3" fontId="3" numFmtId="0" xfId="0" applyAlignment="1" applyBorder="1" applyFont="1">
      <alignment readingOrder="0"/>
    </xf>
    <xf borderId="3" fillId="3" fontId="72" numFmtId="0" xfId="0" applyAlignment="1" applyBorder="1" applyFont="1">
      <alignment readingOrder="0"/>
    </xf>
    <xf borderId="9" fillId="0" fontId="53" numFmtId="0" xfId="0" applyAlignment="1" applyBorder="1" applyFont="1">
      <alignment horizontal="left" readingOrder="0" vertical="top"/>
    </xf>
    <xf borderId="9" fillId="0" fontId="73" numFmtId="0" xfId="0" applyAlignment="1" applyBorder="1" applyFont="1">
      <alignment horizontal="left" readingOrder="0" vertical="top"/>
    </xf>
    <xf borderId="9" fillId="0" fontId="53" numFmtId="0" xfId="0" applyAlignment="1" applyBorder="1" applyFont="1">
      <alignment horizontal="left" vertical="top"/>
    </xf>
    <xf borderId="9" fillId="0" fontId="3" numFmtId="0" xfId="0" applyAlignment="1" applyBorder="1" applyFont="1">
      <alignment horizontal="center" readingOrder="0"/>
    </xf>
    <xf borderId="7" fillId="11" fontId="3" numFmtId="0" xfId="0" applyAlignment="1" applyBorder="1" applyFont="1">
      <alignment readingOrder="0"/>
    </xf>
    <xf borderId="7" fillId="11" fontId="74" numFmtId="0" xfId="0" applyAlignment="1" applyBorder="1" applyFont="1">
      <alignment readingOrder="0"/>
    </xf>
    <xf borderId="7" fillId="11" fontId="3" numFmtId="0" xfId="0" applyBorder="1" applyFont="1"/>
    <xf borderId="7" fillId="3" fontId="3" numFmtId="0" xfId="0" applyAlignment="1" applyBorder="1" applyFont="1">
      <alignment horizontal="left" readingOrder="0"/>
    </xf>
    <xf borderId="7" fillId="3" fontId="75" numFmtId="0" xfId="0" applyAlignment="1" applyBorder="1" applyFont="1">
      <alignment horizontal="left" readingOrder="0"/>
    </xf>
    <xf borderId="7" fillId="5" fontId="3" numFmtId="0" xfId="0" applyAlignment="1" applyBorder="1" applyFont="1">
      <alignment horizontal="left" readingOrder="0"/>
    </xf>
    <xf borderId="7" fillId="5" fontId="3" numFmtId="0" xfId="0" applyAlignment="1" applyBorder="1" applyFont="1">
      <alignment horizontal="left"/>
    </xf>
    <xf borderId="7" fillId="5" fontId="76" numFmtId="0" xfId="0" applyAlignment="1" applyBorder="1" applyFont="1">
      <alignment horizontal="left" readingOrder="0"/>
    </xf>
    <xf borderId="7" fillId="3" fontId="3" numFmtId="0" xfId="0" applyAlignment="1" applyBorder="1" applyFont="1">
      <alignment horizontal="left"/>
    </xf>
    <xf borderId="9" fillId="0" fontId="53" numFmtId="0" xfId="0" applyAlignment="1" applyBorder="1" applyFont="1">
      <alignment horizontal="left" vertical="top"/>
    </xf>
    <xf borderId="9" fillId="15" fontId="3" numFmtId="0" xfId="0" applyAlignment="1" applyBorder="1" applyFont="1">
      <alignment horizontal="left" readingOrder="0" vertical="top"/>
    </xf>
    <xf borderId="9" fillId="15" fontId="3" numFmtId="0" xfId="0" applyAlignment="1" applyBorder="1" applyFont="1">
      <alignment horizontal="left" vertical="top"/>
    </xf>
    <xf borderId="9" fillId="15" fontId="77" numFmtId="0" xfId="0" applyAlignment="1" applyBorder="1" applyFont="1">
      <alignment horizontal="left" readingOrder="0" vertical="top"/>
    </xf>
    <xf borderId="9" fillId="0" fontId="3" numFmtId="0" xfId="0" applyAlignment="1" applyBorder="1" applyFont="1">
      <alignment horizontal="left" readingOrder="0" vertical="top"/>
    </xf>
    <xf borderId="9" fillId="0" fontId="3" numFmtId="0" xfId="0" applyAlignment="1" applyBorder="1" applyFont="1">
      <alignment horizontal="left" vertical="top"/>
    </xf>
    <xf borderId="9" fillId="0" fontId="78" numFmtId="0" xfId="0" applyAlignment="1" applyBorder="1" applyFont="1">
      <alignment horizontal="left" readingOrder="0" vertical="top"/>
    </xf>
    <xf borderId="2" fillId="0" fontId="53" numFmtId="0" xfId="0" applyAlignment="1" applyBorder="1" applyFont="1">
      <alignment readingOrder="0" vertical="top"/>
    </xf>
    <xf borderId="2" fillId="0" fontId="53" numFmtId="0" xfId="0" applyAlignment="1" applyBorder="1" applyFont="1">
      <alignment vertical="top"/>
    </xf>
    <xf borderId="2" fillId="0" fontId="79" numFmtId="0" xfId="0" applyAlignment="1" applyBorder="1" applyFont="1">
      <alignment readingOrder="0" vertical="top"/>
    </xf>
    <xf borderId="2" fillId="16" fontId="53" numFmtId="0" xfId="0" applyAlignment="1" applyBorder="1" applyFont="1">
      <alignment readingOrder="0" vertical="top"/>
    </xf>
    <xf borderId="2" fillId="16" fontId="80" numFmtId="0" xfId="0" applyAlignment="1" applyBorder="1" applyFont="1">
      <alignment readingOrder="0" vertical="top"/>
    </xf>
    <xf borderId="11" fillId="6" fontId="3" numFmtId="0" xfId="0" applyAlignment="1" applyBorder="1" applyFont="1">
      <alignment readingOrder="0"/>
    </xf>
    <xf borderId="11" fillId="6" fontId="81" numFmtId="0" xfId="0" applyAlignment="1" applyBorder="1" applyFont="1">
      <alignment readingOrder="0"/>
    </xf>
    <xf borderId="8" fillId="6" fontId="3" numFmtId="0" xfId="0" applyAlignment="1" applyBorder="1" applyFont="1">
      <alignment horizontal="center" readingOrder="0"/>
    </xf>
    <xf borderId="8" fillId="6" fontId="3" numFmtId="0" xfId="0" applyAlignment="1" applyBorder="1" applyFont="1">
      <alignment horizontal="left" readingOrder="0"/>
    </xf>
    <xf borderId="8" fillId="6" fontId="82" numFmtId="0" xfId="0" applyAlignment="1" applyBorder="1" applyFont="1">
      <alignment horizontal="left" readingOrder="0"/>
    </xf>
    <xf borderId="8" fillId="5" fontId="3" numFmtId="0" xfId="0" applyAlignment="1" applyBorder="1" applyFont="1">
      <alignment horizontal="center" readingOrder="0"/>
    </xf>
    <xf borderId="8" fillId="5" fontId="3" numFmtId="0" xfId="0" applyAlignment="1" applyBorder="1" applyFont="1">
      <alignment horizontal="left" readingOrder="0"/>
    </xf>
    <xf borderId="8" fillId="5" fontId="83" numFmtId="0" xfId="0" applyAlignment="1" applyBorder="1" applyFont="1">
      <alignment horizontal="left" readingOrder="0"/>
    </xf>
    <xf borderId="8" fillId="6" fontId="3" numFmtId="0" xfId="0" applyAlignment="1" applyBorder="1" applyFont="1">
      <alignment horizontal="left"/>
    </xf>
    <xf borderId="8" fillId="5" fontId="3" numFmtId="0" xfId="0" applyAlignment="1" applyBorder="1" applyFont="1">
      <alignment horizontal="left"/>
    </xf>
    <xf borderId="11" fillId="3" fontId="3" numFmtId="0" xfId="0" applyAlignment="1" applyBorder="1" applyFont="1">
      <alignment horizontal="left" readingOrder="0"/>
    </xf>
    <xf borderId="11" fillId="3" fontId="3" numFmtId="0" xfId="0" applyAlignment="1" applyBorder="1" applyFont="1">
      <alignment horizontal="left"/>
    </xf>
    <xf borderId="11" fillId="3" fontId="84" numFmtId="0" xfId="0" applyAlignment="1" applyBorder="1" applyFont="1">
      <alignment horizontal="left" readingOrder="0"/>
    </xf>
    <xf borderId="11" fillId="5" fontId="3" numFmtId="0" xfId="0" applyAlignment="1" applyBorder="1" applyFont="1">
      <alignment horizontal="left" readingOrder="0"/>
    </xf>
    <xf borderId="11" fillId="5" fontId="85" numFmtId="0" xfId="0" applyAlignment="1" applyBorder="1" applyFont="1">
      <alignment horizontal="left" readingOrder="0"/>
    </xf>
    <xf borderId="11" fillId="5" fontId="3" numFmtId="0" xfId="0" applyAlignment="1" applyBorder="1" applyFont="1">
      <alignment horizontal="left"/>
    </xf>
    <xf borderId="3" fillId="11" fontId="3" numFmtId="0" xfId="0" applyAlignment="1" applyBorder="1" applyFont="1">
      <alignment readingOrder="0"/>
    </xf>
    <xf borderId="3" fillId="11" fontId="86" numFmtId="0" xfId="0" applyAlignment="1" applyBorder="1" applyFont="1">
      <alignment readingOrder="0"/>
    </xf>
    <xf borderId="7" fillId="3" fontId="3" numFmtId="0" xfId="0" applyBorder="1" applyFont="1"/>
    <xf borderId="2" fillId="7" fontId="3" numFmtId="0" xfId="0" applyAlignment="1" applyBorder="1" applyFont="1">
      <alignment horizontal="center" readingOrder="0"/>
    </xf>
    <xf borderId="2" fillId="7" fontId="87" numFmtId="0" xfId="0" applyAlignment="1" applyBorder="1" applyFont="1">
      <alignment horizontal="center" readingOrder="0"/>
    </xf>
    <xf borderId="2" fillId="5" fontId="3" numFmtId="0" xfId="0" applyAlignment="1" applyBorder="1" applyFont="1">
      <alignment horizontal="left"/>
    </xf>
    <xf borderId="2" fillId="7" fontId="3" numFmtId="0" xfId="0" applyAlignment="1" applyBorder="1" applyFont="1">
      <alignment horizontal="center"/>
    </xf>
    <xf borderId="2" fillId="7" fontId="3" numFmtId="0" xfId="0" applyAlignment="1" applyBorder="1" applyFont="1">
      <alignment horizontal="left"/>
    </xf>
    <xf borderId="3" fillId="18" fontId="3" numFmtId="0" xfId="0" applyAlignment="1" applyBorder="1" applyFill="1" applyFont="1">
      <alignment readingOrder="0"/>
    </xf>
    <xf borderId="3" fillId="18" fontId="88" numFmtId="0" xfId="0" applyAlignment="1" applyBorder="1" applyFont="1">
      <alignment readingOrder="0"/>
    </xf>
    <xf borderId="3" fillId="5" fontId="3" numFmtId="0" xfId="0" applyBorder="1" applyFont="1"/>
    <xf borderId="2" fillId="5" fontId="3" numFmtId="0" xfId="0" applyBorder="1" applyFont="1"/>
    <xf borderId="2" fillId="7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://alacakaya.bel.tr" TargetMode="External"/><Relationship Id="rId194" Type="http://schemas.openxmlformats.org/officeDocument/2006/relationships/hyperlink" Target="http://www.keban.bel.tr" TargetMode="External"/><Relationship Id="rId193" Type="http://schemas.openxmlformats.org/officeDocument/2006/relationships/hyperlink" Target="https://www.karakocan.bel.tr" TargetMode="External"/><Relationship Id="rId192" Type="http://schemas.openxmlformats.org/officeDocument/2006/relationships/hyperlink" Target="https://www.baskil.bel.tr" TargetMode="External"/><Relationship Id="rId191" Type="http://schemas.openxmlformats.org/officeDocument/2006/relationships/hyperlink" Target="https://aricak.bel.tr" TargetMode="External"/><Relationship Id="rId187" Type="http://schemas.openxmlformats.org/officeDocument/2006/relationships/hyperlink" Target="http://www.uzunkopru.bel.tr" TargetMode="External"/><Relationship Id="rId186" Type="http://schemas.openxmlformats.org/officeDocument/2006/relationships/hyperlink" Target="http://www.suloglu.bel.tr" TargetMode="External"/><Relationship Id="rId185" Type="http://schemas.openxmlformats.org/officeDocument/2006/relationships/hyperlink" Target="http://www.meric.bel.tr" TargetMode="External"/><Relationship Id="rId184" Type="http://schemas.openxmlformats.org/officeDocument/2006/relationships/hyperlink" Target="http://www.lalapasa.bel.tr" TargetMode="External"/><Relationship Id="rId189" Type="http://schemas.openxmlformats.org/officeDocument/2006/relationships/hyperlink" Target="https://agin.bel.tr" TargetMode="External"/><Relationship Id="rId188" Type="http://schemas.openxmlformats.org/officeDocument/2006/relationships/hyperlink" Target="https://www.elazig.bel.tr" TargetMode="External"/><Relationship Id="rId183" Type="http://schemas.openxmlformats.org/officeDocument/2006/relationships/hyperlink" Target="http://www.kesan.bel.tr" TargetMode="External"/><Relationship Id="rId182" Type="http://schemas.openxmlformats.org/officeDocument/2006/relationships/hyperlink" Target="http://www.ipsala.bel.tr" TargetMode="External"/><Relationship Id="rId181" Type="http://schemas.openxmlformats.org/officeDocument/2006/relationships/hyperlink" Target="http://www.havsa.bel.tr" TargetMode="External"/><Relationship Id="rId180" Type="http://schemas.openxmlformats.org/officeDocument/2006/relationships/hyperlink" Target="http://www.enez.bel.tr" TargetMode="External"/><Relationship Id="rId176" Type="http://schemas.openxmlformats.org/officeDocument/2006/relationships/hyperlink" Target="http://www.silvan.bel.tr" TargetMode="External"/><Relationship Id="rId175" Type="http://schemas.openxmlformats.org/officeDocument/2006/relationships/hyperlink" Target="http://www.lice.bel.tr" TargetMode="External"/><Relationship Id="rId174" Type="http://schemas.openxmlformats.org/officeDocument/2006/relationships/hyperlink" Target="http://www.kulp.bel.tr" TargetMode="External"/><Relationship Id="rId173" Type="http://schemas.openxmlformats.org/officeDocument/2006/relationships/hyperlink" Target="http://www.kocakoy.bel.tr" TargetMode="External"/><Relationship Id="rId179" Type="http://schemas.openxmlformats.org/officeDocument/2006/relationships/hyperlink" Target="http://www.edirne.bel.tr" TargetMode="External"/><Relationship Id="rId178" Type="http://schemas.openxmlformats.org/officeDocument/2006/relationships/hyperlink" Target="http://www.diyarbakiryenisehir.bel.tr" TargetMode="External"/><Relationship Id="rId177" Type="http://schemas.openxmlformats.org/officeDocument/2006/relationships/hyperlink" Target="http://www.sur.bel.tr" TargetMode="External"/><Relationship Id="rId198" Type="http://schemas.openxmlformats.org/officeDocument/2006/relationships/hyperlink" Target="https://www.sivrice.bel.tr" TargetMode="External"/><Relationship Id="rId197" Type="http://schemas.openxmlformats.org/officeDocument/2006/relationships/hyperlink" Target="https://www.palu.bel.tr" TargetMode="External"/><Relationship Id="rId196" Type="http://schemas.openxmlformats.org/officeDocument/2006/relationships/hyperlink" Target="http://www.maden.bel.tr" TargetMode="External"/><Relationship Id="rId195" Type="http://schemas.openxmlformats.org/officeDocument/2006/relationships/hyperlink" Target="https://www.kovancilar.bel.tr" TargetMode="External"/><Relationship Id="rId199" Type="http://schemas.openxmlformats.org/officeDocument/2006/relationships/hyperlink" Target="http://www.erzincan.bel.tr" TargetMode="External"/><Relationship Id="rId150" Type="http://schemas.openxmlformats.org/officeDocument/2006/relationships/hyperlink" Target="http://www.cameli.bel.tr" TargetMode="External"/><Relationship Id="rId392" Type="http://schemas.openxmlformats.org/officeDocument/2006/relationships/hyperlink" Target="http://www.kagizman.bel.tr" TargetMode="External"/><Relationship Id="rId391" Type="http://schemas.openxmlformats.org/officeDocument/2006/relationships/hyperlink" Target="http://www.digor.bel.tr" TargetMode="External"/><Relationship Id="rId390" Type="http://schemas.openxmlformats.org/officeDocument/2006/relationships/hyperlink" Target="http://www.arpacay.bel.tr" TargetMode="External"/><Relationship Id="rId1" Type="http://schemas.openxmlformats.org/officeDocument/2006/relationships/hyperlink" Target="http://bayat.bel.tr/" TargetMode="External"/><Relationship Id="rId2" Type="http://schemas.openxmlformats.org/officeDocument/2006/relationships/hyperlink" Target="https://www.cay.bel.tr" TargetMode="External"/><Relationship Id="rId3" Type="http://schemas.openxmlformats.org/officeDocument/2006/relationships/hyperlink" Target="https://www.emirdag.bel.tr" TargetMode="External"/><Relationship Id="rId149" Type="http://schemas.openxmlformats.org/officeDocument/2006/relationships/hyperlink" Target="http://www.cal.bel.tr" TargetMode="External"/><Relationship Id="rId4" Type="http://schemas.openxmlformats.org/officeDocument/2006/relationships/hyperlink" Target="http://www.hocalar.bel.tr" TargetMode="External"/><Relationship Id="rId148" Type="http://schemas.openxmlformats.org/officeDocument/2006/relationships/hyperlink" Target="http://www.buldan.bel.tr" TargetMode="External"/><Relationship Id="rId9" Type="http://schemas.openxmlformats.org/officeDocument/2006/relationships/hyperlink" Target="https://www.diyadin.bel.tr/" TargetMode="External"/><Relationship Id="rId143" Type="http://schemas.openxmlformats.org/officeDocument/2006/relationships/hyperlink" Target="http://www.babadag.bel.tr" TargetMode="External"/><Relationship Id="rId385" Type="http://schemas.openxmlformats.org/officeDocument/2006/relationships/hyperlink" Target="https://tire.bel.tr" TargetMode="External"/><Relationship Id="rId142" Type="http://schemas.openxmlformats.org/officeDocument/2006/relationships/hyperlink" Target="http://www.acipayam.bel.tr" TargetMode="External"/><Relationship Id="rId384" Type="http://schemas.openxmlformats.org/officeDocument/2006/relationships/hyperlink" Target="https://www.selcuk.bel.tr" TargetMode="External"/><Relationship Id="rId141" Type="http://schemas.openxmlformats.org/officeDocument/2006/relationships/hyperlink" Target="http://www.denizli.bel.tr" TargetMode="External"/><Relationship Id="rId383" Type="http://schemas.openxmlformats.org/officeDocument/2006/relationships/hyperlink" Target="https://seferihisar.bel.tr" TargetMode="External"/><Relationship Id="rId140" Type="http://schemas.openxmlformats.org/officeDocument/2006/relationships/hyperlink" Target="http://ugurludag.bel.tr" TargetMode="External"/><Relationship Id="rId382" Type="http://schemas.openxmlformats.org/officeDocument/2006/relationships/hyperlink" Target="https://www.odemis.bel.tr" TargetMode="External"/><Relationship Id="rId5" Type="http://schemas.openxmlformats.org/officeDocument/2006/relationships/hyperlink" Target="https://www.ihsaniye.bel.tr" TargetMode="External"/><Relationship Id="rId147" Type="http://schemas.openxmlformats.org/officeDocument/2006/relationships/hyperlink" Target="http://denizlibozkurt.bel.tr" TargetMode="External"/><Relationship Id="rId389" Type="http://schemas.openxmlformats.org/officeDocument/2006/relationships/hyperlink" Target="http://www.karsakyaka.bel.tr" TargetMode="External"/><Relationship Id="rId6" Type="http://schemas.openxmlformats.org/officeDocument/2006/relationships/hyperlink" Target="http://www.afyonkiziloren.bel.tr" TargetMode="External"/><Relationship Id="rId146" Type="http://schemas.openxmlformats.org/officeDocument/2006/relationships/hyperlink" Target="http://www.beyagac.bel.tr" TargetMode="External"/><Relationship Id="rId388" Type="http://schemas.openxmlformats.org/officeDocument/2006/relationships/hyperlink" Target="http://www.kars.bel.tr" TargetMode="External"/><Relationship Id="rId7" Type="http://schemas.openxmlformats.org/officeDocument/2006/relationships/hyperlink" Target="https://www.sinanpasa.bel.tr" TargetMode="External"/><Relationship Id="rId145" Type="http://schemas.openxmlformats.org/officeDocument/2006/relationships/hyperlink" Target="http://www.bekilli.bel.tr/" TargetMode="External"/><Relationship Id="rId387" Type="http://schemas.openxmlformats.org/officeDocument/2006/relationships/hyperlink" Target="https://www.urla.bel.tr" TargetMode="External"/><Relationship Id="rId8" Type="http://schemas.openxmlformats.org/officeDocument/2006/relationships/hyperlink" Target="https://www.agri.bel.tr/" TargetMode="External"/><Relationship Id="rId144" Type="http://schemas.openxmlformats.org/officeDocument/2006/relationships/hyperlink" Target="http://www.baklan.bel.tr" TargetMode="External"/><Relationship Id="rId386" Type="http://schemas.openxmlformats.org/officeDocument/2006/relationships/hyperlink" Target="https://www.torbali.bel.tr" TargetMode="External"/><Relationship Id="rId381" Type="http://schemas.openxmlformats.org/officeDocument/2006/relationships/hyperlink" Target="https://www.narlidere-bld.gov.tr" TargetMode="External"/><Relationship Id="rId380" Type="http://schemas.openxmlformats.org/officeDocument/2006/relationships/hyperlink" Target="https://www.menemen.bel.tr" TargetMode="External"/><Relationship Id="rId139" Type="http://schemas.openxmlformats.org/officeDocument/2006/relationships/hyperlink" Target="http://sungurlu.bel.tr" TargetMode="External"/><Relationship Id="rId138" Type="http://schemas.openxmlformats.org/officeDocument/2006/relationships/hyperlink" Target="http://osmancik.bel.tr/" TargetMode="External"/><Relationship Id="rId137" Type="http://schemas.openxmlformats.org/officeDocument/2006/relationships/hyperlink" Target="http://corumortakoy.bel.tr/" TargetMode="External"/><Relationship Id="rId379" Type="http://schemas.openxmlformats.org/officeDocument/2006/relationships/hyperlink" Target="https://menderes.bel.tr" TargetMode="External"/><Relationship Id="rId132" Type="http://schemas.openxmlformats.org/officeDocument/2006/relationships/hyperlink" Target="http://www.iskilip.bel.tr" TargetMode="External"/><Relationship Id="rId374" Type="http://schemas.openxmlformats.org/officeDocument/2006/relationships/hyperlink" Target="https://www.karsiyaka.bel.tr" TargetMode="External"/><Relationship Id="rId131" Type="http://schemas.openxmlformats.org/officeDocument/2006/relationships/hyperlink" Target="http://www.dodurga.bel.tr" TargetMode="External"/><Relationship Id="rId373" Type="http://schemas.openxmlformats.org/officeDocument/2006/relationships/hyperlink" Target="https://www.karaburun.bel.tr" TargetMode="External"/><Relationship Id="rId130" Type="http://schemas.openxmlformats.org/officeDocument/2006/relationships/hyperlink" Target="http://www.bogazkale.bel.tr" TargetMode="External"/><Relationship Id="rId372" Type="http://schemas.openxmlformats.org/officeDocument/2006/relationships/hyperlink" Target="https://www.karabaglar.bel.tr" TargetMode="External"/><Relationship Id="rId371" Type="http://schemas.openxmlformats.org/officeDocument/2006/relationships/hyperlink" Target="https://www.guzelbahce.bel.tr" TargetMode="External"/><Relationship Id="rId136" Type="http://schemas.openxmlformats.org/officeDocument/2006/relationships/hyperlink" Target="http://oguzlar.bel.tr" TargetMode="External"/><Relationship Id="rId378" Type="http://schemas.openxmlformats.org/officeDocument/2006/relationships/hyperlink" Target="https://www.konak.bel.tr" TargetMode="External"/><Relationship Id="rId135" Type="http://schemas.openxmlformats.org/officeDocument/2006/relationships/hyperlink" Target="http://www.mecitozu.bel.tr" TargetMode="External"/><Relationship Id="rId377" Type="http://schemas.openxmlformats.org/officeDocument/2006/relationships/hyperlink" Target="https://www.kiraz.bel.tr" TargetMode="External"/><Relationship Id="rId134" Type="http://schemas.openxmlformats.org/officeDocument/2006/relationships/hyperlink" Target="http://www.lacin.bel.tr" TargetMode="External"/><Relationship Id="rId376" Type="http://schemas.openxmlformats.org/officeDocument/2006/relationships/hyperlink" Target="https://kinik.bel.tr" TargetMode="External"/><Relationship Id="rId133" Type="http://schemas.openxmlformats.org/officeDocument/2006/relationships/hyperlink" Target="http://kargi.bel.tr" TargetMode="External"/><Relationship Id="rId375" Type="http://schemas.openxmlformats.org/officeDocument/2006/relationships/hyperlink" Target="https://izmir-kemalpasa.bel.tr" TargetMode="External"/><Relationship Id="rId172" Type="http://schemas.openxmlformats.org/officeDocument/2006/relationships/hyperlink" Target="http://www.kayapinar.bel.tr" TargetMode="External"/><Relationship Id="rId171" Type="http://schemas.openxmlformats.org/officeDocument/2006/relationships/hyperlink" Target="http://www.hazro.bel.tr" TargetMode="External"/><Relationship Id="rId170" Type="http://schemas.openxmlformats.org/officeDocument/2006/relationships/hyperlink" Target="http://www.hani.bel.tr" TargetMode="External"/><Relationship Id="rId165" Type="http://schemas.openxmlformats.org/officeDocument/2006/relationships/hyperlink" Target="http://www.cinar.bel.tr" TargetMode="External"/><Relationship Id="rId164" Type="http://schemas.openxmlformats.org/officeDocument/2006/relationships/hyperlink" Target="http://www.cermik.bel.tr" TargetMode="External"/><Relationship Id="rId163" Type="http://schemas.openxmlformats.org/officeDocument/2006/relationships/hyperlink" Target="http://www.bismil.bel.tr" TargetMode="External"/><Relationship Id="rId162" Type="http://schemas.openxmlformats.org/officeDocument/2006/relationships/hyperlink" Target="http://www.baglar.bel.tr" TargetMode="External"/><Relationship Id="rId169" Type="http://schemas.openxmlformats.org/officeDocument/2006/relationships/hyperlink" Target="http://www.ergani.bel.tr" TargetMode="External"/><Relationship Id="rId168" Type="http://schemas.openxmlformats.org/officeDocument/2006/relationships/hyperlink" Target="http://www.egil.bel.tr" TargetMode="External"/><Relationship Id="rId167" Type="http://schemas.openxmlformats.org/officeDocument/2006/relationships/hyperlink" Target="http://www.dicle.bel.tr" TargetMode="External"/><Relationship Id="rId166" Type="http://schemas.openxmlformats.org/officeDocument/2006/relationships/hyperlink" Target="http://www.cungus.bel.tr" TargetMode="External"/><Relationship Id="rId161" Type="http://schemas.openxmlformats.org/officeDocument/2006/relationships/hyperlink" Target="http://www.diyarbakir.bel.tr" TargetMode="External"/><Relationship Id="rId160" Type="http://schemas.openxmlformats.org/officeDocument/2006/relationships/hyperlink" Target="http://www.tavas.bel.tr" TargetMode="External"/><Relationship Id="rId159" Type="http://schemas.openxmlformats.org/officeDocument/2006/relationships/hyperlink" Target="http://www.serinhisar.bel.tr" TargetMode="External"/><Relationship Id="rId154" Type="http://schemas.openxmlformats.org/officeDocument/2006/relationships/hyperlink" Target="http://www.honaz.bel.tr" TargetMode="External"/><Relationship Id="rId396" Type="http://schemas.openxmlformats.org/officeDocument/2006/relationships/hyperlink" Target="https://www.kastamonu.bel.tr/" TargetMode="External"/><Relationship Id="rId153" Type="http://schemas.openxmlformats.org/officeDocument/2006/relationships/hyperlink" Target="http://www.guney.bel.tr" TargetMode="External"/><Relationship Id="rId395" Type="http://schemas.openxmlformats.org/officeDocument/2006/relationships/hyperlink" Target="http://www.karssusuz.bel.tr" TargetMode="External"/><Relationship Id="rId152" Type="http://schemas.openxmlformats.org/officeDocument/2006/relationships/hyperlink" Target="http://www.civril.bel.tr" TargetMode="External"/><Relationship Id="rId394" Type="http://schemas.openxmlformats.org/officeDocument/2006/relationships/hyperlink" Target="http://www.selim.bel.tr" TargetMode="External"/><Relationship Id="rId151" Type="http://schemas.openxmlformats.org/officeDocument/2006/relationships/hyperlink" Target="http://www.cardak.bel.tr/" TargetMode="External"/><Relationship Id="rId393" Type="http://schemas.openxmlformats.org/officeDocument/2006/relationships/hyperlink" Target="http://www.sarikamis.bel.tr" TargetMode="External"/><Relationship Id="rId158" Type="http://schemas.openxmlformats.org/officeDocument/2006/relationships/hyperlink" Target="http://www.saraykoy.bel.tr" TargetMode="External"/><Relationship Id="rId157" Type="http://schemas.openxmlformats.org/officeDocument/2006/relationships/hyperlink" Target="http://www.pamukkale.bel.tr" TargetMode="External"/><Relationship Id="rId399" Type="http://schemas.openxmlformats.org/officeDocument/2006/relationships/hyperlink" Target="https://www.arac.bel.tr/" TargetMode="External"/><Relationship Id="rId156" Type="http://schemas.openxmlformats.org/officeDocument/2006/relationships/hyperlink" Target="http://www.merkezefendi.bel.tr" TargetMode="External"/><Relationship Id="rId398" Type="http://schemas.openxmlformats.org/officeDocument/2006/relationships/hyperlink" Target="https://www.agli.bel.tr/" TargetMode="External"/><Relationship Id="rId155" Type="http://schemas.openxmlformats.org/officeDocument/2006/relationships/hyperlink" Target="http://www.kale.bel.tr/" TargetMode="External"/><Relationship Id="rId397" Type="http://schemas.openxmlformats.org/officeDocument/2006/relationships/hyperlink" Target="https://abana.bel.tr/" TargetMode="External"/><Relationship Id="rId808" Type="http://schemas.openxmlformats.org/officeDocument/2006/relationships/hyperlink" Target="http://www.kozluk.bel.tr" TargetMode="External"/><Relationship Id="rId807" Type="http://schemas.openxmlformats.org/officeDocument/2006/relationships/hyperlink" Target="http://www.hasankeyf.bel.tr" TargetMode="External"/><Relationship Id="rId806" Type="http://schemas.openxmlformats.org/officeDocument/2006/relationships/hyperlink" Target="http://www.gercus.bel.tr" TargetMode="External"/><Relationship Id="rId805" Type="http://schemas.openxmlformats.org/officeDocument/2006/relationships/hyperlink" Target="http://www.besiri.bel.tr" TargetMode="External"/><Relationship Id="rId809" Type="http://schemas.openxmlformats.org/officeDocument/2006/relationships/hyperlink" Target="http://www.sason.bel.tr" TargetMode="External"/><Relationship Id="rId800" Type="http://schemas.openxmlformats.org/officeDocument/2006/relationships/hyperlink" Target="http://karakecilibelediyesi.bel.tr" TargetMode="External"/><Relationship Id="rId804" Type="http://schemas.openxmlformats.org/officeDocument/2006/relationships/hyperlink" Target="http://www.batman.bel.tr" TargetMode="External"/><Relationship Id="rId803" Type="http://schemas.openxmlformats.org/officeDocument/2006/relationships/hyperlink" Target="http://www.yahsihan.bel.tr" TargetMode="External"/><Relationship Id="rId802" Type="http://schemas.openxmlformats.org/officeDocument/2006/relationships/hyperlink" Target="http://www.sulakyurt.bel.tr" TargetMode="External"/><Relationship Id="rId801" Type="http://schemas.openxmlformats.org/officeDocument/2006/relationships/hyperlink" Target="http://www.keskin.bel.tr" TargetMode="External"/><Relationship Id="rId40" Type="http://schemas.openxmlformats.org/officeDocument/2006/relationships/hyperlink" Target="https://savastepe.bel.tr" TargetMode="External"/><Relationship Id="rId42" Type="http://schemas.openxmlformats.org/officeDocument/2006/relationships/hyperlink" Target="https://susurluk.bel.tr" TargetMode="External"/><Relationship Id="rId41" Type="http://schemas.openxmlformats.org/officeDocument/2006/relationships/hyperlink" Target="https://sindirgi.bel.tr" TargetMode="External"/><Relationship Id="rId44" Type="http://schemas.openxmlformats.org/officeDocument/2006/relationships/hyperlink" Target="https://www.bozuyuk.bel.tr" TargetMode="External"/><Relationship Id="rId43" Type="http://schemas.openxmlformats.org/officeDocument/2006/relationships/hyperlink" Target="https://www.bilecik.bel.tr" TargetMode="External"/><Relationship Id="rId46" Type="http://schemas.openxmlformats.org/officeDocument/2006/relationships/hyperlink" Target="http://www.inhisar.bel.tr" TargetMode="External"/><Relationship Id="rId45" Type="http://schemas.openxmlformats.org/officeDocument/2006/relationships/hyperlink" Target="https://www.golpazari.bel.tr" TargetMode="External"/><Relationship Id="rId509" Type="http://schemas.openxmlformats.org/officeDocument/2006/relationships/hyperlink" Target="http://www.doganyol.bel.tr" TargetMode="External"/><Relationship Id="rId508" Type="http://schemas.openxmlformats.org/officeDocument/2006/relationships/hyperlink" Target="http://www.dogansehir.bel.tr" TargetMode="External"/><Relationship Id="rId503" Type="http://schemas.openxmlformats.org/officeDocument/2006/relationships/hyperlink" Target="http://www.yesilyurt.bel.tr" TargetMode="External"/><Relationship Id="rId745" Type="http://schemas.openxmlformats.org/officeDocument/2006/relationships/hyperlink" Target="http://www.caldiran.bel.tr" TargetMode="External"/><Relationship Id="rId502" Type="http://schemas.openxmlformats.org/officeDocument/2006/relationships/hyperlink" Target="http://www.battalgazi.bel.tr" TargetMode="External"/><Relationship Id="rId744" Type="http://schemas.openxmlformats.org/officeDocument/2006/relationships/hyperlink" Target="http://www.baskale.bel.tr" TargetMode="External"/><Relationship Id="rId501" Type="http://schemas.openxmlformats.org/officeDocument/2006/relationships/hyperlink" Target="http://www.tavsanli.bel.tr" TargetMode="External"/><Relationship Id="rId743" Type="http://schemas.openxmlformats.org/officeDocument/2006/relationships/hyperlink" Target="http://www.bahcesaray.bel.tr" TargetMode="External"/><Relationship Id="rId500" Type="http://schemas.openxmlformats.org/officeDocument/2006/relationships/hyperlink" Target="http://www.saphane.bel.tr" TargetMode="External"/><Relationship Id="rId742" Type="http://schemas.openxmlformats.org/officeDocument/2006/relationships/hyperlink" Target="https://usakulubey.bel.tr" TargetMode="External"/><Relationship Id="rId507" Type="http://schemas.openxmlformats.org/officeDocument/2006/relationships/hyperlink" Target="http://www.darende.bel.tr" TargetMode="External"/><Relationship Id="rId749" Type="http://schemas.openxmlformats.org/officeDocument/2006/relationships/hyperlink" Target="http://www.gevas.bel.tr" TargetMode="External"/><Relationship Id="rId506" Type="http://schemas.openxmlformats.org/officeDocument/2006/relationships/hyperlink" Target="http://www.arguvan.bel.tr" TargetMode="External"/><Relationship Id="rId748" Type="http://schemas.openxmlformats.org/officeDocument/2006/relationships/hyperlink" Target="http://www.ercis.bel.tr" TargetMode="External"/><Relationship Id="rId505" Type="http://schemas.openxmlformats.org/officeDocument/2006/relationships/hyperlink" Target="http://www.arapgir.bel.tr" TargetMode="External"/><Relationship Id="rId747" Type="http://schemas.openxmlformats.org/officeDocument/2006/relationships/hyperlink" Target="http://www.vanedremit.bel.tr" TargetMode="External"/><Relationship Id="rId504" Type="http://schemas.openxmlformats.org/officeDocument/2006/relationships/hyperlink" Target="http://www.akcadag.bel.tr" TargetMode="External"/><Relationship Id="rId746" Type="http://schemas.openxmlformats.org/officeDocument/2006/relationships/hyperlink" Target="http://www.catak.bel.tr" TargetMode="External"/><Relationship Id="rId48" Type="http://schemas.openxmlformats.org/officeDocument/2006/relationships/hyperlink" Target="https://www.pazaryeri.bel.tr" TargetMode="External"/><Relationship Id="rId47" Type="http://schemas.openxmlformats.org/officeDocument/2006/relationships/hyperlink" Target="https://www.osmaneli.bel.tr" TargetMode="External"/><Relationship Id="rId49" Type="http://schemas.openxmlformats.org/officeDocument/2006/relationships/hyperlink" Target="https://sogut.bel.tr/" TargetMode="External"/><Relationship Id="rId741" Type="http://schemas.openxmlformats.org/officeDocument/2006/relationships/hyperlink" Target="https://www.sivasli.bel.tr" TargetMode="External"/><Relationship Id="rId740" Type="http://schemas.openxmlformats.org/officeDocument/2006/relationships/hyperlink" Target="https://www.karahalli.bel.tr" TargetMode="External"/><Relationship Id="rId31" Type="http://schemas.openxmlformats.org/officeDocument/2006/relationships/hyperlink" Target="https://edremit.bel.tr" TargetMode="External"/><Relationship Id="rId30" Type="http://schemas.openxmlformats.org/officeDocument/2006/relationships/hyperlink" Target="https://dursunbey.bel.tr" TargetMode="External"/><Relationship Id="rId33" Type="http://schemas.openxmlformats.org/officeDocument/2006/relationships/hyperlink" Target="https://gomec.bel.tr" TargetMode="External"/><Relationship Id="rId32" Type="http://schemas.openxmlformats.org/officeDocument/2006/relationships/hyperlink" Target="https://erdek.bel.tr" TargetMode="External"/><Relationship Id="rId35" Type="http://schemas.openxmlformats.org/officeDocument/2006/relationships/hyperlink" Target="https://havran.bel.tr" TargetMode="External"/><Relationship Id="rId34" Type="http://schemas.openxmlformats.org/officeDocument/2006/relationships/hyperlink" Target="https://gonen.bel.tr" TargetMode="External"/><Relationship Id="rId739" Type="http://schemas.openxmlformats.org/officeDocument/2006/relationships/hyperlink" Target="https://esme.bel.tr" TargetMode="External"/><Relationship Id="rId734" Type="http://schemas.openxmlformats.org/officeDocument/2006/relationships/hyperlink" Target="http://www.siverek.bel.tr" TargetMode="External"/><Relationship Id="rId733" Type="http://schemas.openxmlformats.org/officeDocument/2006/relationships/hyperlink" Target="http://www.hilvan.bel.tr" TargetMode="External"/><Relationship Id="rId732" Type="http://schemas.openxmlformats.org/officeDocument/2006/relationships/hyperlink" Target="http://www.harran.bel.tr" TargetMode="External"/><Relationship Id="rId731" Type="http://schemas.openxmlformats.org/officeDocument/2006/relationships/hyperlink" Target="http://www.haliliye.bel.tr" TargetMode="External"/><Relationship Id="rId738" Type="http://schemas.openxmlformats.org/officeDocument/2006/relationships/hyperlink" Target="http://www.banaz.bel.tr" TargetMode="External"/><Relationship Id="rId737" Type="http://schemas.openxmlformats.org/officeDocument/2006/relationships/hyperlink" Target="https://www.usak.bel.tr" TargetMode="External"/><Relationship Id="rId736" Type="http://schemas.openxmlformats.org/officeDocument/2006/relationships/hyperlink" Target="http://www.viransehir.bel.tr" TargetMode="External"/><Relationship Id="rId735" Type="http://schemas.openxmlformats.org/officeDocument/2006/relationships/hyperlink" Target="http://www.suruc.bel.tr" TargetMode="External"/><Relationship Id="rId37" Type="http://schemas.openxmlformats.org/officeDocument/2006/relationships/hyperlink" Target="https://kepsut.bel.tr" TargetMode="External"/><Relationship Id="rId36" Type="http://schemas.openxmlformats.org/officeDocument/2006/relationships/hyperlink" Target="https://ivrindi.bel.tr" TargetMode="External"/><Relationship Id="rId39" Type="http://schemas.openxmlformats.org/officeDocument/2006/relationships/hyperlink" Target="https://marmara.bel.tr" TargetMode="External"/><Relationship Id="rId38" Type="http://schemas.openxmlformats.org/officeDocument/2006/relationships/hyperlink" Target="https://manyas.bel.tr" TargetMode="External"/><Relationship Id="rId730" Type="http://schemas.openxmlformats.org/officeDocument/2006/relationships/hyperlink" Target="http://www.halfeti.bel.tr" TargetMode="External"/><Relationship Id="rId20" Type="http://schemas.openxmlformats.org/officeDocument/2006/relationships/hyperlink" Target="http://ardanuc.bel.tr/" TargetMode="External"/><Relationship Id="rId22" Type="http://schemas.openxmlformats.org/officeDocument/2006/relationships/hyperlink" Target="https://www.didim.bel.tr" TargetMode="External"/><Relationship Id="rId21" Type="http://schemas.openxmlformats.org/officeDocument/2006/relationships/hyperlink" Target="https://arhavi.bel.tr" TargetMode="External"/><Relationship Id="rId24" Type="http://schemas.openxmlformats.org/officeDocument/2006/relationships/hyperlink" Target="https://www.karesi.bel.tr" TargetMode="External"/><Relationship Id="rId23" Type="http://schemas.openxmlformats.org/officeDocument/2006/relationships/hyperlink" Target="https://www.altieylul.bel.tr" TargetMode="External"/><Relationship Id="rId525" Type="http://schemas.openxmlformats.org/officeDocument/2006/relationships/hyperlink" Target="http://www.sarigol.bel.tr" TargetMode="External"/><Relationship Id="rId767" Type="http://schemas.openxmlformats.org/officeDocument/2006/relationships/hyperlink" Target="https://sefaatli.bel.tr/" TargetMode="External"/><Relationship Id="rId524" Type="http://schemas.openxmlformats.org/officeDocument/2006/relationships/hyperlink" Target="http://www.salihli.bel.tr" TargetMode="External"/><Relationship Id="rId766" Type="http://schemas.openxmlformats.org/officeDocument/2006/relationships/hyperlink" Target="https://www.sorgun.bel.tr/" TargetMode="External"/><Relationship Id="rId523" Type="http://schemas.openxmlformats.org/officeDocument/2006/relationships/hyperlink" Target="http://www.kula.bel.tr" TargetMode="External"/><Relationship Id="rId765" Type="http://schemas.openxmlformats.org/officeDocument/2006/relationships/hyperlink" Target="https://www.sarikaya.bel.tr/" TargetMode="External"/><Relationship Id="rId522" Type="http://schemas.openxmlformats.org/officeDocument/2006/relationships/hyperlink" Target="http://www.koprubasi.bel.tr" TargetMode="External"/><Relationship Id="rId764" Type="http://schemas.openxmlformats.org/officeDocument/2006/relationships/hyperlink" Target="https://www.saraykent.bel.tr/" TargetMode="External"/><Relationship Id="rId529" Type="http://schemas.openxmlformats.org/officeDocument/2006/relationships/hyperlink" Target="http://www.sehzadeler.bel.tr" TargetMode="External"/><Relationship Id="rId528" Type="http://schemas.openxmlformats.org/officeDocument/2006/relationships/hyperlink" Target="http://www.soma.bel.tr" TargetMode="External"/><Relationship Id="rId527" Type="http://schemas.openxmlformats.org/officeDocument/2006/relationships/hyperlink" Target="http://www.selendi.bel.tr" TargetMode="External"/><Relationship Id="rId769" Type="http://schemas.openxmlformats.org/officeDocument/2006/relationships/hyperlink" Target="https://www.yerkoy.bel.tr/" TargetMode="External"/><Relationship Id="rId526" Type="http://schemas.openxmlformats.org/officeDocument/2006/relationships/hyperlink" Target="http://www.saruhanli.bel.tr" TargetMode="External"/><Relationship Id="rId768" Type="http://schemas.openxmlformats.org/officeDocument/2006/relationships/hyperlink" Target="https://www.yenifakili.bel.tr/" TargetMode="External"/><Relationship Id="rId26" Type="http://schemas.openxmlformats.org/officeDocument/2006/relationships/hyperlink" Target="https://balya.bel.tr" TargetMode="External"/><Relationship Id="rId25" Type="http://schemas.openxmlformats.org/officeDocument/2006/relationships/hyperlink" Target="https://ayvalik.bel.tr" TargetMode="External"/><Relationship Id="rId28" Type="http://schemas.openxmlformats.org/officeDocument/2006/relationships/hyperlink" Target="https://bigadic.bel.tr" TargetMode="External"/><Relationship Id="rId27" Type="http://schemas.openxmlformats.org/officeDocument/2006/relationships/hyperlink" Target="https://bandirma.bel.tr" TargetMode="External"/><Relationship Id="rId521" Type="http://schemas.openxmlformats.org/officeDocument/2006/relationships/hyperlink" Target="http://www.kirkagac.bel.tr" TargetMode="External"/><Relationship Id="rId763" Type="http://schemas.openxmlformats.org/officeDocument/2006/relationships/hyperlink" Target="https://www.yozgat.bel.tr/" TargetMode="External"/><Relationship Id="rId29" Type="http://schemas.openxmlformats.org/officeDocument/2006/relationships/hyperlink" Target="https://burhaniye.bel.tr/" TargetMode="External"/><Relationship Id="rId520" Type="http://schemas.openxmlformats.org/officeDocument/2006/relationships/hyperlink" Target="http://www.gordes.bel.tr" TargetMode="External"/><Relationship Id="rId762" Type="http://schemas.openxmlformats.org/officeDocument/2006/relationships/hyperlink" Target="https://kadisehri.bel.tr/" TargetMode="External"/><Relationship Id="rId761" Type="http://schemas.openxmlformats.org/officeDocument/2006/relationships/hyperlink" Target="https://cekerek.bel.tr/" TargetMode="External"/><Relationship Id="rId760" Type="http://schemas.openxmlformats.org/officeDocument/2006/relationships/hyperlink" Target="https://www.cayiralan.bel.tr/" TargetMode="External"/><Relationship Id="rId11" Type="http://schemas.openxmlformats.org/officeDocument/2006/relationships/hyperlink" Target="https://eleskirt.bel.tr/" TargetMode="External"/><Relationship Id="rId10" Type="http://schemas.openxmlformats.org/officeDocument/2006/relationships/hyperlink" Target="https://www.dogubayazit.bel.tr/" TargetMode="External"/><Relationship Id="rId13" Type="http://schemas.openxmlformats.org/officeDocument/2006/relationships/hyperlink" Target="https://www.patnos.bel.tr/" TargetMode="External"/><Relationship Id="rId12" Type="http://schemas.openxmlformats.org/officeDocument/2006/relationships/hyperlink" Target="https://www.hamur.bel.tr/" TargetMode="External"/><Relationship Id="rId519" Type="http://schemas.openxmlformats.org/officeDocument/2006/relationships/hyperlink" Target="http://www.golmarmara.bel.tr" TargetMode="External"/><Relationship Id="rId514" Type="http://schemas.openxmlformats.org/officeDocument/2006/relationships/hyperlink" Target="http://www.yazihan.bel.tr" TargetMode="External"/><Relationship Id="rId756" Type="http://schemas.openxmlformats.org/officeDocument/2006/relationships/hyperlink" Target="https://www.akdagmadeni.bel.tr/" TargetMode="External"/><Relationship Id="rId513" Type="http://schemas.openxmlformats.org/officeDocument/2006/relationships/hyperlink" Target="http://www.puturge.bel.tr" TargetMode="External"/><Relationship Id="rId755" Type="http://schemas.openxmlformats.org/officeDocument/2006/relationships/hyperlink" Target="http://www.tusba.bel.tr" TargetMode="External"/><Relationship Id="rId512" Type="http://schemas.openxmlformats.org/officeDocument/2006/relationships/hyperlink" Target="http://www.kuluncak.bel.tr" TargetMode="External"/><Relationship Id="rId754" Type="http://schemas.openxmlformats.org/officeDocument/2006/relationships/hyperlink" Target="http://www.vansaray.bel.tr" TargetMode="External"/><Relationship Id="rId511" Type="http://schemas.openxmlformats.org/officeDocument/2006/relationships/hyperlink" Target="http://www.malatyakale.bel.tr" TargetMode="External"/><Relationship Id="rId753" Type="http://schemas.openxmlformats.org/officeDocument/2006/relationships/hyperlink" Target="http://www.ozalp.bel.tr" TargetMode="External"/><Relationship Id="rId518" Type="http://schemas.openxmlformats.org/officeDocument/2006/relationships/hyperlink" Target="http://www.demirci-bld.gov.tr" TargetMode="External"/><Relationship Id="rId517" Type="http://schemas.openxmlformats.org/officeDocument/2006/relationships/hyperlink" Target="http://www.alasehir.bel.tr" TargetMode="External"/><Relationship Id="rId759" Type="http://schemas.openxmlformats.org/officeDocument/2006/relationships/hyperlink" Target="https://www.candir.bel.tr/" TargetMode="External"/><Relationship Id="rId516" Type="http://schemas.openxmlformats.org/officeDocument/2006/relationships/hyperlink" Target="http://www.akhisar.bel.tr" TargetMode="External"/><Relationship Id="rId758" Type="http://schemas.openxmlformats.org/officeDocument/2006/relationships/hyperlink" Target="https://bogazliyan.bel.tr/" TargetMode="External"/><Relationship Id="rId515" Type="http://schemas.openxmlformats.org/officeDocument/2006/relationships/hyperlink" Target="http://www.ahmetli.bel.tr" TargetMode="External"/><Relationship Id="rId757" Type="http://schemas.openxmlformats.org/officeDocument/2006/relationships/hyperlink" Target="https://www.yozgataydincik.bel.tr/" TargetMode="External"/><Relationship Id="rId15" Type="http://schemas.openxmlformats.org/officeDocument/2006/relationships/hyperlink" Target="https://www.tutak.bel.tr/" TargetMode="External"/><Relationship Id="rId14" Type="http://schemas.openxmlformats.org/officeDocument/2006/relationships/hyperlink" Target="https://www.taslicay.bel.tr/" TargetMode="External"/><Relationship Id="rId17" Type="http://schemas.openxmlformats.org/officeDocument/2006/relationships/hyperlink" Target="https://hamamozu.bel.tr" TargetMode="External"/><Relationship Id="rId16" Type="http://schemas.openxmlformats.org/officeDocument/2006/relationships/hyperlink" Target="http://www.goynucek.bel.tr" TargetMode="External"/><Relationship Id="rId19" Type="http://schemas.openxmlformats.org/officeDocument/2006/relationships/hyperlink" Target="https://www.demre.bel.tr" TargetMode="External"/><Relationship Id="rId510" Type="http://schemas.openxmlformats.org/officeDocument/2006/relationships/hyperlink" Target="http://www.hekimhan.bel.tr" TargetMode="External"/><Relationship Id="rId752" Type="http://schemas.openxmlformats.org/officeDocument/2006/relationships/hyperlink" Target="http://www.muradiye.bel.tr" TargetMode="External"/><Relationship Id="rId18" Type="http://schemas.openxmlformats.org/officeDocument/2006/relationships/hyperlink" Target="https://www.alanya.bel.tr" TargetMode="External"/><Relationship Id="rId751" Type="http://schemas.openxmlformats.org/officeDocument/2006/relationships/hyperlink" Target="http://www.ipekyolu.bel.tr" TargetMode="External"/><Relationship Id="rId750" Type="http://schemas.openxmlformats.org/officeDocument/2006/relationships/hyperlink" Target="http://gurpinar.bel.tr" TargetMode="External"/><Relationship Id="rId84" Type="http://schemas.openxmlformats.org/officeDocument/2006/relationships/hyperlink" Target="https://www.yesilovabelediyesi.bel.tr/" TargetMode="External"/><Relationship Id="rId83" Type="http://schemas.openxmlformats.org/officeDocument/2006/relationships/hyperlink" Target="https://www.tefenni.bel.tr/" TargetMode="External"/><Relationship Id="rId86" Type="http://schemas.openxmlformats.org/officeDocument/2006/relationships/hyperlink" Target="http://www.osmangazi.bel.tr" TargetMode="External"/><Relationship Id="rId85" Type="http://schemas.openxmlformats.org/officeDocument/2006/relationships/hyperlink" Target="http://www.bursa.bel.tr" TargetMode="External"/><Relationship Id="rId88" Type="http://schemas.openxmlformats.org/officeDocument/2006/relationships/hyperlink" Target="http://www.nilufer.bel.tr" TargetMode="External"/><Relationship Id="rId87" Type="http://schemas.openxmlformats.org/officeDocument/2006/relationships/hyperlink" Target="http://www.yildirim.bel.tr" TargetMode="External"/><Relationship Id="rId89" Type="http://schemas.openxmlformats.org/officeDocument/2006/relationships/hyperlink" Target="http://www.gursu.bel.tr" TargetMode="External"/><Relationship Id="rId709" Type="http://schemas.openxmlformats.org/officeDocument/2006/relationships/hyperlink" Target="http://www.macka.bel.tr" TargetMode="External"/><Relationship Id="rId708" Type="http://schemas.openxmlformats.org/officeDocument/2006/relationships/hyperlink" Target="http://www.trabzonkoprubasi.bel.tr" TargetMode="External"/><Relationship Id="rId707" Type="http://schemas.openxmlformats.org/officeDocument/2006/relationships/hyperlink" Target="http://www.hayrat.bel.tr" TargetMode="External"/><Relationship Id="rId706" Type="http://schemas.openxmlformats.org/officeDocument/2006/relationships/hyperlink" Target="http://www.duzkoy.bel.tr" TargetMode="External"/><Relationship Id="rId80" Type="http://schemas.openxmlformats.org/officeDocument/2006/relationships/hyperlink" Target="https://www.golhisar.bel.tr/" TargetMode="External"/><Relationship Id="rId82" Type="http://schemas.openxmlformats.org/officeDocument/2006/relationships/hyperlink" Target="https://www.kemer15.bel.tr/" TargetMode="External"/><Relationship Id="rId81" Type="http://schemas.openxmlformats.org/officeDocument/2006/relationships/hyperlink" Target="https://karamanli.bel.tr/" TargetMode="External"/><Relationship Id="rId701" Type="http://schemas.openxmlformats.org/officeDocument/2006/relationships/hyperlink" Target="http://www.arsin.bel.tr" TargetMode="External"/><Relationship Id="rId700" Type="http://schemas.openxmlformats.org/officeDocument/2006/relationships/hyperlink" Target="http://arakli.bel.tr" TargetMode="External"/><Relationship Id="rId705" Type="http://schemas.openxmlformats.org/officeDocument/2006/relationships/hyperlink" Target="http://www.dernekpazari.bel.tr" TargetMode="External"/><Relationship Id="rId704" Type="http://schemas.openxmlformats.org/officeDocument/2006/relationships/hyperlink" Target="http://www.caykara.bel.tr" TargetMode="External"/><Relationship Id="rId703" Type="http://schemas.openxmlformats.org/officeDocument/2006/relationships/hyperlink" Target="http://www.carsibasi.bel.tr" TargetMode="External"/><Relationship Id="rId702" Type="http://schemas.openxmlformats.org/officeDocument/2006/relationships/hyperlink" Target="http://besikduzu.bel.tr" TargetMode="External"/><Relationship Id="rId73" Type="http://schemas.openxmlformats.org/officeDocument/2006/relationships/hyperlink" Target="http://www.yenicaga.bel.tr" TargetMode="External"/><Relationship Id="rId72" Type="http://schemas.openxmlformats.org/officeDocument/2006/relationships/hyperlink" Target="http://seben.bel.tr" TargetMode="External"/><Relationship Id="rId75" Type="http://schemas.openxmlformats.org/officeDocument/2006/relationships/hyperlink" Target="https://www.aglasun.bel.tr/" TargetMode="External"/><Relationship Id="rId74" Type="http://schemas.openxmlformats.org/officeDocument/2006/relationships/hyperlink" Target="https://burdur.bel.tr/" TargetMode="External"/><Relationship Id="rId77" Type="http://schemas.openxmlformats.org/officeDocument/2006/relationships/hyperlink" Target="https://bucak.bel.tr/" TargetMode="External"/><Relationship Id="rId76" Type="http://schemas.openxmlformats.org/officeDocument/2006/relationships/hyperlink" Target="https://www.xn--altnyayla-xpb.bel.tr/" TargetMode="External"/><Relationship Id="rId79" Type="http://schemas.openxmlformats.org/officeDocument/2006/relationships/hyperlink" Target="https://www.celtikci.bel.tr/" TargetMode="External"/><Relationship Id="rId78" Type="http://schemas.openxmlformats.org/officeDocument/2006/relationships/hyperlink" Target="https://www.cavdir.bel.tr/" TargetMode="External"/><Relationship Id="rId71" Type="http://schemas.openxmlformats.org/officeDocument/2006/relationships/hyperlink" Target="http://mudurnu.bel.tr" TargetMode="External"/><Relationship Id="rId70" Type="http://schemas.openxmlformats.org/officeDocument/2006/relationships/hyperlink" Target="http://mengen.bel.tr" TargetMode="External"/><Relationship Id="rId62" Type="http://schemas.openxmlformats.org/officeDocument/2006/relationships/hyperlink" Target="http://www.hizan.bel.tr" TargetMode="External"/><Relationship Id="rId61" Type="http://schemas.openxmlformats.org/officeDocument/2006/relationships/hyperlink" Target="http://www.guroymak.bel.tr" TargetMode="External"/><Relationship Id="rId64" Type="http://schemas.openxmlformats.org/officeDocument/2006/relationships/hyperlink" Target="http://www.tatvan.bel.tr" TargetMode="External"/><Relationship Id="rId63" Type="http://schemas.openxmlformats.org/officeDocument/2006/relationships/hyperlink" Target="http://www.mutki.bel.tr" TargetMode="External"/><Relationship Id="rId66" Type="http://schemas.openxmlformats.org/officeDocument/2006/relationships/hyperlink" Target="http://www.dortdivan.bel.tr" TargetMode="External"/><Relationship Id="rId65" Type="http://schemas.openxmlformats.org/officeDocument/2006/relationships/hyperlink" Target="http://www.bolu.bel.tr" TargetMode="External"/><Relationship Id="rId68" Type="http://schemas.openxmlformats.org/officeDocument/2006/relationships/hyperlink" Target="http://www.goynuk.bel.tr" TargetMode="External"/><Relationship Id="rId67" Type="http://schemas.openxmlformats.org/officeDocument/2006/relationships/hyperlink" Target="http://www.gerede.bel.tr" TargetMode="External"/><Relationship Id="rId729" Type="http://schemas.openxmlformats.org/officeDocument/2006/relationships/hyperlink" Target="http://www.eyyubiye.bel.tr" TargetMode="External"/><Relationship Id="rId728" Type="http://schemas.openxmlformats.org/officeDocument/2006/relationships/hyperlink" Target="http://www.ceylanpinar.bel.tr" TargetMode="External"/><Relationship Id="rId60" Type="http://schemas.openxmlformats.org/officeDocument/2006/relationships/hyperlink" Target="http://www.ahlat.bel.tr" TargetMode="External"/><Relationship Id="rId723" Type="http://schemas.openxmlformats.org/officeDocument/2006/relationships/hyperlink" Target="http://www.pertek.bel.tr" TargetMode="External"/><Relationship Id="rId722" Type="http://schemas.openxmlformats.org/officeDocument/2006/relationships/hyperlink" Target="http://tunceliovacik.bel.tr" TargetMode="External"/><Relationship Id="rId721" Type="http://schemas.openxmlformats.org/officeDocument/2006/relationships/hyperlink" Target="http://nazimiye.bel.tr" TargetMode="External"/><Relationship Id="rId720" Type="http://schemas.openxmlformats.org/officeDocument/2006/relationships/hyperlink" Target="http://mazgirt.bel.tr" TargetMode="External"/><Relationship Id="rId727" Type="http://schemas.openxmlformats.org/officeDocument/2006/relationships/hyperlink" Target="http://www.bozova.bel.tr" TargetMode="External"/><Relationship Id="rId726" Type="http://schemas.openxmlformats.org/officeDocument/2006/relationships/hyperlink" Target="http://www.birecik.bel.tr" TargetMode="External"/><Relationship Id="rId725" Type="http://schemas.openxmlformats.org/officeDocument/2006/relationships/hyperlink" Target="http://www.akcakale.bel.tr" TargetMode="External"/><Relationship Id="rId724" Type="http://schemas.openxmlformats.org/officeDocument/2006/relationships/hyperlink" Target="http://pulumur.bel.tr" TargetMode="External"/><Relationship Id="rId69" Type="http://schemas.openxmlformats.org/officeDocument/2006/relationships/hyperlink" Target="http://www.kibriscik.bel.tr" TargetMode="External"/><Relationship Id="rId51" Type="http://schemas.openxmlformats.org/officeDocument/2006/relationships/hyperlink" Target="http://www.adakli.bel.tr" TargetMode="External"/><Relationship Id="rId50" Type="http://schemas.openxmlformats.org/officeDocument/2006/relationships/hyperlink" Target="http://www.bingol.bel.tr" TargetMode="External"/><Relationship Id="rId53" Type="http://schemas.openxmlformats.org/officeDocument/2006/relationships/hyperlink" Target="http://www.karliova.bel.tr" TargetMode="External"/><Relationship Id="rId52" Type="http://schemas.openxmlformats.org/officeDocument/2006/relationships/hyperlink" Target="http://www.genc.bel.tr" TargetMode="External"/><Relationship Id="rId55" Type="http://schemas.openxmlformats.org/officeDocument/2006/relationships/hyperlink" Target="http://solhan.bel.tr" TargetMode="External"/><Relationship Id="rId54" Type="http://schemas.openxmlformats.org/officeDocument/2006/relationships/hyperlink" Target="http://www.kigi.bel.tr" TargetMode="External"/><Relationship Id="rId57" Type="http://schemas.openxmlformats.org/officeDocument/2006/relationships/hyperlink" Target="http://www.yedisu.bel.tr" TargetMode="External"/><Relationship Id="rId56" Type="http://schemas.openxmlformats.org/officeDocument/2006/relationships/hyperlink" Target="http://www.yayladere.bel.tr" TargetMode="External"/><Relationship Id="rId719" Type="http://schemas.openxmlformats.org/officeDocument/2006/relationships/hyperlink" Target="http://hozat.bel.tr" TargetMode="External"/><Relationship Id="rId718" Type="http://schemas.openxmlformats.org/officeDocument/2006/relationships/hyperlink" Target="http://www.cemisgezek.bel.tr" TargetMode="External"/><Relationship Id="rId717" Type="http://schemas.openxmlformats.org/officeDocument/2006/relationships/hyperlink" Target="http://www.tunceli.bel.tr" TargetMode="External"/><Relationship Id="rId712" Type="http://schemas.openxmlformats.org/officeDocument/2006/relationships/hyperlink" Target="http://surmene.bel.tr" TargetMode="External"/><Relationship Id="rId711" Type="http://schemas.openxmlformats.org/officeDocument/2006/relationships/hyperlink" Target="http://www.trabzonortahisar.bel.tr" TargetMode="External"/><Relationship Id="rId710" Type="http://schemas.openxmlformats.org/officeDocument/2006/relationships/hyperlink" Target="http://www.of.bel.tr" TargetMode="External"/><Relationship Id="rId716" Type="http://schemas.openxmlformats.org/officeDocument/2006/relationships/hyperlink" Target="http://www.yomra.bel.tr" TargetMode="External"/><Relationship Id="rId715" Type="http://schemas.openxmlformats.org/officeDocument/2006/relationships/hyperlink" Target="http://www.vakfikebir.bel.tr" TargetMode="External"/><Relationship Id="rId714" Type="http://schemas.openxmlformats.org/officeDocument/2006/relationships/hyperlink" Target="http://www.tonya.bel.tr" TargetMode="External"/><Relationship Id="rId713" Type="http://schemas.openxmlformats.org/officeDocument/2006/relationships/hyperlink" Target="http://salpazari.bel.tr" TargetMode="External"/><Relationship Id="rId59" Type="http://schemas.openxmlformats.org/officeDocument/2006/relationships/hyperlink" Target="http://www.adilcevaz.bel.tr" TargetMode="External"/><Relationship Id="rId58" Type="http://schemas.openxmlformats.org/officeDocument/2006/relationships/hyperlink" Target="http://www.bitlis.bel.tr" TargetMode="External"/><Relationship Id="rId590" Type="http://schemas.openxmlformats.org/officeDocument/2006/relationships/hyperlink" Target="http://www.caybasi.bel.tr" TargetMode="External"/><Relationship Id="rId107" Type="http://schemas.openxmlformats.org/officeDocument/2006/relationships/hyperlink" Target="http://www.bozcaada.bel.tr" TargetMode="External"/><Relationship Id="rId349" Type="http://schemas.openxmlformats.org/officeDocument/2006/relationships/hyperlink" Target="http://sariyer.bel.tr" TargetMode="External"/><Relationship Id="rId106" Type="http://schemas.openxmlformats.org/officeDocument/2006/relationships/hyperlink" Target="http://www.biga.bel.tr" TargetMode="External"/><Relationship Id="rId348" Type="http://schemas.openxmlformats.org/officeDocument/2006/relationships/hyperlink" Target="http://www.sancaktepe.bel.tr" TargetMode="External"/><Relationship Id="rId105" Type="http://schemas.openxmlformats.org/officeDocument/2006/relationships/hyperlink" Target="http://www.bayramic.bel.tr" TargetMode="External"/><Relationship Id="rId347" Type="http://schemas.openxmlformats.org/officeDocument/2006/relationships/hyperlink" Target="http://www.pendik.bel.tr" TargetMode="External"/><Relationship Id="rId589" Type="http://schemas.openxmlformats.org/officeDocument/2006/relationships/hyperlink" Target="http://www.catalpinar.bel.tr" TargetMode="External"/><Relationship Id="rId104" Type="http://schemas.openxmlformats.org/officeDocument/2006/relationships/hyperlink" Target="http://www.canakkaleayvacik.bel.tr" TargetMode="External"/><Relationship Id="rId346" Type="http://schemas.openxmlformats.org/officeDocument/2006/relationships/hyperlink" Target="http://www.maltepe.bel.tr" TargetMode="External"/><Relationship Id="rId588" Type="http://schemas.openxmlformats.org/officeDocument/2006/relationships/hyperlink" Target="http://www.camas.bel.tr" TargetMode="External"/><Relationship Id="rId109" Type="http://schemas.openxmlformats.org/officeDocument/2006/relationships/hyperlink" Target="http://www.eceabat.bel.tr" TargetMode="External"/><Relationship Id="rId108" Type="http://schemas.openxmlformats.org/officeDocument/2006/relationships/hyperlink" Target="http://www.can.bel.tr" TargetMode="External"/><Relationship Id="rId341" Type="http://schemas.openxmlformats.org/officeDocument/2006/relationships/hyperlink" Target="http://www.gungoren.bel.tr" TargetMode="External"/><Relationship Id="rId583" Type="http://schemas.openxmlformats.org/officeDocument/2006/relationships/hyperlink" Target="http://www.ciftlik.bel.tr" TargetMode="External"/><Relationship Id="rId340" Type="http://schemas.openxmlformats.org/officeDocument/2006/relationships/hyperlink" Target="http://www.gaziosmanpasa.bel.tr" TargetMode="External"/><Relationship Id="rId582" Type="http://schemas.openxmlformats.org/officeDocument/2006/relationships/hyperlink" Target="http://www.camardi.bel.tr" TargetMode="External"/><Relationship Id="rId581" Type="http://schemas.openxmlformats.org/officeDocument/2006/relationships/hyperlink" Target="http://www.bor.bel.tr" TargetMode="External"/><Relationship Id="rId580" Type="http://schemas.openxmlformats.org/officeDocument/2006/relationships/hyperlink" Target="http://www.altunhisar.bel.tr" TargetMode="External"/><Relationship Id="rId103" Type="http://schemas.openxmlformats.org/officeDocument/2006/relationships/hyperlink" Target="http://www.canakkale.bel.tr" TargetMode="External"/><Relationship Id="rId345" Type="http://schemas.openxmlformats.org/officeDocument/2006/relationships/hyperlink" Target="http://kucukcekmece.bel.tr" TargetMode="External"/><Relationship Id="rId587" Type="http://schemas.openxmlformats.org/officeDocument/2006/relationships/hyperlink" Target="http://www.aybasti.bel.tr" TargetMode="External"/><Relationship Id="rId102" Type="http://schemas.openxmlformats.org/officeDocument/2006/relationships/hyperlink" Target="http://www.keles.bel.tr/" TargetMode="External"/><Relationship Id="rId344" Type="http://schemas.openxmlformats.org/officeDocument/2006/relationships/hyperlink" Target="http://www.kartal.bel.tr" TargetMode="External"/><Relationship Id="rId586" Type="http://schemas.openxmlformats.org/officeDocument/2006/relationships/hyperlink" Target="http://www.altinordu.bel.tr" TargetMode="External"/><Relationship Id="rId101" Type="http://schemas.openxmlformats.org/officeDocument/2006/relationships/hyperlink" Target="http://www.harmancik.bel.tr" TargetMode="External"/><Relationship Id="rId343" Type="http://schemas.openxmlformats.org/officeDocument/2006/relationships/hyperlink" Target="http://www.kagithane.bel.tr" TargetMode="External"/><Relationship Id="rId585" Type="http://schemas.openxmlformats.org/officeDocument/2006/relationships/hyperlink" Target="http://www.akkus.bel.tr" TargetMode="External"/><Relationship Id="rId100" Type="http://schemas.openxmlformats.org/officeDocument/2006/relationships/hyperlink" Target="http://www.buyukorhan.bel.tr" TargetMode="External"/><Relationship Id="rId342" Type="http://schemas.openxmlformats.org/officeDocument/2006/relationships/hyperlink" Target="http://www.kadikoy.bel.tr" TargetMode="External"/><Relationship Id="rId584" Type="http://schemas.openxmlformats.org/officeDocument/2006/relationships/hyperlink" Target="http://www.ulukisla.bel.tr" TargetMode="External"/><Relationship Id="rId338" Type="http://schemas.openxmlformats.org/officeDocument/2006/relationships/hyperlink" Target="http://www.eyupsultan.bel.tr" TargetMode="External"/><Relationship Id="rId337" Type="http://schemas.openxmlformats.org/officeDocument/2006/relationships/hyperlink" Target="http://www.esenyurt.bel.tr" TargetMode="External"/><Relationship Id="rId579" Type="http://schemas.openxmlformats.org/officeDocument/2006/relationships/hyperlink" Target="http://www.nigde.bel.tr" TargetMode="External"/><Relationship Id="rId336" Type="http://schemas.openxmlformats.org/officeDocument/2006/relationships/hyperlink" Target="http://esenler.bel.tr" TargetMode="External"/><Relationship Id="rId578" Type="http://schemas.openxmlformats.org/officeDocument/2006/relationships/hyperlink" Target="http://www.urgup.bel.tr" TargetMode="External"/><Relationship Id="rId335" Type="http://schemas.openxmlformats.org/officeDocument/2006/relationships/hyperlink" Target="http://www.cekmekoy.bel.tr" TargetMode="External"/><Relationship Id="rId577" Type="http://schemas.openxmlformats.org/officeDocument/2006/relationships/hyperlink" Target="http://www.kozakli.bel.tr" TargetMode="External"/><Relationship Id="rId339" Type="http://schemas.openxmlformats.org/officeDocument/2006/relationships/hyperlink" Target="http://www.fatih.bel.tr" TargetMode="External"/><Relationship Id="rId330" Type="http://schemas.openxmlformats.org/officeDocument/2006/relationships/hyperlink" Target="http://beykoz.bel.tr" TargetMode="External"/><Relationship Id="rId572" Type="http://schemas.openxmlformats.org/officeDocument/2006/relationships/hyperlink" Target="http://www.acigol.bel.tr" TargetMode="External"/><Relationship Id="rId571" Type="http://schemas.openxmlformats.org/officeDocument/2006/relationships/hyperlink" Target="http://www.nevsehir.bel.tr" TargetMode="External"/><Relationship Id="rId570" Type="http://schemas.openxmlformats.org/officeDocument/2006/relationships/hyperlink" Target="http://www.varto.bel.tr" TargetMode="External"/><Relationship Id="rId334" Type="http://schemas.openxmlformats.org/officeDocument/2006/relationships/hyperlink" Target="http://www.catalca.bel.tr" TargetMode="External"/><Relationship Id="rId576" Type="http://schemas.openxmlformats.org/officeDocument/2006/relationships/hyperlink" Target="http://www.hacibektas.bel.tr" TargetMode="External"/><Relationship Id="rId333" Type="http://schemas.openxmlformats.org/officeDocument/2006/relationships/hyperlink" Target="http://www.bcekmece.bel.tr" TargetMode="External"/><Relationship Id="rId575" Type="http://schemas.openxmlformats.org/officeDocument/2006/relationships/hyperlink" Target="http://www.gulsehir.bel.tr" TargetMode="External"/><Relationship Id="rId332" Type="http://schemas.openxmlformats.org/officeDocument/2006/relationships/hyperlink" Target="http://beyoglu.bel.tr" TargetMode="External"/><Relationship Id="rId574" Type="http://schemas.openxmlformats.org/officeDocument/2006/relationships/hyperlink" Target="http://www.derinkuyu.bel.tr" TargetMode="External"/><Relationship Id="rId331" Type="http://schemas.openxmlformats.org/officeDocument/2006/relationships/hyperlink" Target="http://www.beylikduzu.bel.tr" TargetMode="External"/><Relationship Id="rId573" Type="http://schemas.openxmlformats.org/officeDocument/2006/relationships/hyperlink" Target="http://www.avanos.bel.tr" TargetMode="External"/><Relationship Id="rId370" Type="http://schemas.openxmlformats.org/officeDocument/2006/relationships/hyperlink" Target="https://www.gaziemir.bel.tr" TargetMode="External"/><Relationship Id="rId129" Type="http://schemas.openxmlformats.org/officeDocument/2006/relationships/hyperlink" Target="http://corumbayat.bel.tr" TargetMode="External"/><Relationship Id="rId128" Type="http://schemas.openxmlformats.org/officeDocument/2006/relationships/hyperlink" Target="http://www.alaca.bel.tr" TargetMode="External"/><Relationship Id="rId127" Type="http://schemas.openxmlformats.org/officeDocument/2006/relationships/hyperlink" Target="http://www.corum.bel.tr" TargetMode="External"/><Relationship Id="rId369" Type="http://schemas.openxmlformats.org/officeDocument/2006/relationships/hyperlink" Target="https://www.foca.bel.tr" TargetMode="External"/><Relationship Id="rId126" Type="http://schemas.openxmlformats.org/officeDocument/2006/relationships/hyperlink" Target="http://www.yaprakli.bel.tr" TargetMode="External"/><Relationship Id="rId368" Type="http://schemas.openxmlformats.org/officeDocument/2006/relationships/hyperlink" Target="https://www.izmir-dikili.bel.tr" TargetMode="External"/><Relationship Id="rId121" Type="http://schemas.openxmlformats.org/officeDocument/2006/relationships/hyperlink" Target="http://www.kizilirmak.bel.tr" TargetMode="External"/><Relationship Id="rId363" Type="http://schemas.openxmlformats.org/officeDocument/2006/relationships/hyperlink" Target="https://www.beydag.bel.tr" TargetMode="External"/><Relationship Id="rId120" Type="http://schemas.openxmlformats.org/officeDocument/2006/relationships/hyperlink" Target="http://www.ilgaz.bel.tr" TargetMode="External"/><Relationship Id="rId362" Type="http://schemas.openxmlformats.org/officeDocument/2006/relationships/hyperlink" Target="https://bergama.bel.tr" TargetMode="External"/><Relationship Id="rId361" Type="http://schemas.openxmlformats.org/officeDocument/2006/relationships/hyperlink" Target="https://www.bayrakli.bel.tr" TargetMode="External"/><Relationship Id="rId360" Type="http://schemas.openxmlformats.org/officeDocument/2006/relationships/hyperlink" Target="https://www.bayindir.bel.tr" TargetMode="External"/><Relationship Id="rId125" Type="http://schemas.openxmlformats.org/officeDocument/2006/relationships/hyperlink" Target="http://www.sabanozu.bel.tr" TargetMode="External"/><Relationship Id="rId367" Type="http://schemas.openxmlformats.org/officeDocument/2006/relationships/hyperlink" Target="https://www.cigli.bel.tr" TargetMode="External"/><Relationship Id="rId124" Type="http://schemas.openxmlformats.org/officeDocument/2006/relationships/hyperlink" Target="http://www.orta.bel.tr" TargetMode="External"/><Relationship Id="rId366" Type="http://schemas.openxmlformats.org/officeDocument/2006/relationships/hyperlink" Target="https://www.cesme.bel.tr" TargetMode="External"/><Relationship Id="rId123" Type="http://schemas.openxmlformats.org/officeDocument/2006/relationships/hyperlink" Target="http://www.kursunlu.bel.tr" TargetMode="External"/><Relationship Id="rId365" Type="http://schemas.openxmlformats.org/officeDocument/2006/relationships/hyperlink" Target="https://www.buca.bel.tr" TargetMode="External"/><Relationship Id="rId122" Type="http://schemas.openxmlformats.org/officeDocument/2006/relationships/hyperlink" Target="http://www.korgun.bel.tr" TargetMode="External"/><Relationship Id="rId364" Type="http://schemas.openxmlformats.org/officeDocument/2006/relationships/hyperlink" Target="https://bornova.bel.tr" TargetMode="External"/><Relationship Id="rId95" Type="http://schemas.openxmlformats.org/officeDocument/2006/relationships/hyperlink" Target="http://www.mudanya.bel.tr" TargetMode="External"/><Relationship Id="rId94" Type="http://schemas.openxmlformats.org/officeDocument/2006/relationships/hyperlink" Target="http://www.karacabey.bel.tr" TargetMode="External"/><Relationship Id="rId97" Type="http://schemas.openxmlformats.org/officeDocument/2006/relationships/hyperlink" Target="http://www.orhangazi.bel.tr" TargetMode="External"/><Relationship Id="rId96" Type="http://schemas.openxmlformats.org/officeDocument/2006/relationships/hyperlink" Target="http://www.mustafakemalpasa.bel.tr" TargetMode="External"/><Relationship Id="rId99" Type="http://schemas.openxmlformats.org/officeDocument/2006/relationships/hyperlink" Target="http://www.orhaneli.bel.tr" TargetMode="External"/><Relationship Id="rId98" Type="http://schemas.openxmlformats.org/officeDocument/2006/relationships/hyperlink" Target="http://www.bursa-yenisehir.bel.tr" TargetMode="External"/><Relationship Id="rId91" Type="http://schemas.openxmlformats.org/officeDocument/2006/relationships/hyperlink" Target="http://www.gemlik.bel.tr" TargetMode="External"/><Relationship Id="rId90" Type="http://schemas.openxmlformats.org/officeDocument/2006/relationships/hyperlink" Target="http://www.kestel.bel.tr" TargetMode="External"/><Relationship Id="rId93" Type="http://schemas.openxmlformats.org/officeDocument/2006/relationships/hyperlink" Target="http://www.iznik.bel.tr" TargetMode="External"/><Relationship Id="rId92" Type="http://schemas.openxmlformats.org/officeDocument/2006/relationships/hyperlink" Target="http://www.inegol.bel.tr" TargetMode="External"/><Relationship Id="rId118" Type="http://schemas.openxmlformats.org/officeDocument/2006/relationships/hyperlink" Target="http://www.cerkes.bel.tr" TargetMode="External"/><Relationship Id="rId117" Type="http://schemas.openxmlformats.org/officeDocument/2006/relationships/hyperlink" Target="http://www.bayramoren.bel.tr" TargetMode="External"/><Relationship Id="rId359" Type="http://schemas.openxmlformats.org/officeDocument/2006/relationships/hyperlink" Target="https://www.balcova.bel.tr" TargetMode="External"/><Relationship Id="rId116" Type="http://schemas.openxmlformats.org/officeDocument/2006/relationships/hyperlink" Target="http://www.atkaracalar.bel.tr" TargetMode="External"/><Relationship Id="rId358" Type="http://schemas.openxmlformats.org/officeDocument/2006/relationships/hyperlink" Target="https://www.aliaga.bel.tr" TargetMode="External"/><Relationship Id="rId115" Type="http://schemas.openxmlformats.org/officeDocument/2006/relationships/hyperlink" Target="http://www.cankiri.bel.tr" TargetMode="External"/><Relationship Id="rId357" Type="http://schemas.openxmlformats.org/officeDocument/2006/relationships/hyperlink" Target="http://www.uskudar.bel.tr" TargetMode="External"/><Relationship Id="rId599" Type="http://schemas.openxmlformats.org/officeDocument/2006/relationships/hyperlink" Target="http://www.kumru.bel.tr" TargetMode="External"/><Relationship Id="rId119" Type="http://schemas.openxmlformats.org/officeDocument/2006/relationships/hyperlink" Target="http://www.eldivan.bel.tr" TargetMode="External"/><Relationship Id="rId110" Type="http://schemas.openxmlformats.org/officeDocument/2006/relationships/hyperlink" Target="http://www.ezine.bel.tr" TargetMode="External"/><Relationship Id="rId352" Type="http://schemas.openxmlformats.org/officeDocument/2006/relationships/hyperlink" Target="http://www.silivri.bel.tr" TargetMode="External"/><Relationship Id="rId594" Type="http://schemas.openxmlformats.org/officeDocument/2006/relationships/hyperlink" Target="http://www.gurgentepe.bel.tr" TargetMode="External"/><Relationship Id="rId351" Type="http://schemas.openxmlformats.org/officeDocument/2006/relationships/hyperlink" Target="http://www.sisli.bel.tr" TargetMode="External"/><Relationship Id="rId593" Type="http://schemas.openxmlformats.org/officeDocument/2006/relationships/hyperlink" Target="http://www.gulyali.bel.tr" TargetMode="External"/><Relationship Id="rId350" Type="http://schemas.openxmlformats.org/officeDocument/2006/relationships/hyperlink" Target="http://sile.bel.tr" TargetMode="External"/><Relationship Id="rId592" Type="http://schemas.openxmlformats.org/officeDocument/2006/relationships/hyperlink" Target="http://www.golkoy.bel.tr" TargetMode="External"/><Relationship Id="rId591" Type="http://schemas.openxmlformats.org/officeDocument/2006/relationships/hyperlink" Target="http://www.fatsa.bel.tr" TargetMode="External"/><Relationship Id="rId114" Type="http://schemas.openxmlformats.org/officeDocument/2006/relationships/hyperlink" Target="http://www.yenicebelediyesi.bel.tr" TargetMode="External"/><Relationship Id="rId356" Type="http://schemas.openxmlformats.org/officeDocument/2006/relationships/hyperlink" Target="http://www.umraniye.bel.tr" TargetMode="External"/><Relationship Id="rId598" Type="http://schemas.openxmlformats.org/officeDocument/2006/relationships/hyperlink" Target="http://www.korgan.bel.tr" TargetMode="External"/><Relationship Id="rId113" Type="http://schemas.openxmlformats.org/officeDocument/2006/relationships/hyperlink" Target="http://www.lapseki.bel.tr" TargetMode="External"/><Relationship Id="rId355" Type="http://schemas.openxmlformats.org/officeDocument/2006/relationships/hyperlink" Target="http://www.tuzla.bel.tr/" TargetMode="External"/><Relationship Id="rId597" Type="http://schemas.openxmlformats.org/officeDocument/2006/relationships/hyperlink" Target="http://www.kabatas.bel.tr" TargetMode="External"/><Relationship Id="rId112" Type="http://schemas.openxmlformats.org/officeDocument/2006/relationships/hyperlink" Target="http://www.gokceada.bel.tr" TargetMode="External"/><Relationship Id="rId354" Type="http://schemas.openxmlformats.org/officeDocument/2006/relationships/hyperlink" Target="http://www.sultangazi.bel.tr" TargetMode="External"/><Relationship Id="rId596" Type="http://schemas.openxmlformats.org/officeDocument/2006/relationships/hyperlink" Target="http://www.kabaduz.bel.tr" TargetMode="External"/><Relationship Id="rId111" Type="http://schemas.openxmlformats.org/officeDocument/2006/relationships/hyperlink" Target="http://www.gelibolu.bel.tr" TargetMode="External"/><Relationship Id="rId353" Type="http://schemas.openxmlformats.org/officeDocument/2006/relationships/hyperlink" Target="http://www.sultanbeyli.bel.tr" TargetMode="External"/><Relationship Id="rId595" Type="http://schemas.openxmlformats.org/officeDocument/2006/relationships/hyperlink" Target="http://www.ikizce.bel.tr" TargetMode="External"/><Relationship Id="rId305" Type="http://schemas.openxmlformats.org/officeDocument/2006/relationships/hyperlink" Target="http://www.yalvac.bel.tr" TargetMode="External"/><Relationship Id="rId547" Type="http://schemas.openxmlformats.org/officeDocument/2006/relationships/hyperlink" Target="https://mazidagi.bel.tr" TargetMode="External"/><Relationship Id="rId789" Type="http://schemas.openxmlformats.org/officeDocument/2006/relationships/hyperlink" Target="http://www.karaman.bel.tr" TargetMode="External"/><Relationship Id="rId304" Type="http://schemas.openxmlformats.org/officeDocument/2006/relationships/hyperlink" Target="http://www.uluborlu.bel.tr" TargetMode="External"/><Relationship Id="rId546" Type="http://schemas.openxmlformats.org/officeDocument/2006/relationships/hyperlink" Target="https://www.kiziltepe.bel.tr" TargetMode="External"/><Relationship Id="rId788" Type="http://schemas.openxmlformats.org/officeDocument/2006/relationships/hyperlink" Target="http://www.demirozu.bel.tr" TargetMode="External"/><Relationship Id="rId303" Type="http://schemas.openxmlformats.org/officeDocument/2006/relationships/hyperlink" Target="http://www.sarkikaraagac.bel.tr" TargetMode="External"/><Relationship Id="rId545" Type="http://schemas.openxmlformats.org/officeDocument/2006/relationships/hyperlink" Target="https://derik.bel.tr" TargetMode="External"/><Relationship Id="rId787" Type="http://schemas.openxmlformats.org/officeDocument/2006/relationships/hyperlink" Target="http://www.aydintepe.bel.tr" TargetMode="External"/><Relationship Id="rId302" Type="http://schemas.openxmlformats.org/officeDocument/2006/relationships/hyperlink" Target="http://www.sutculer.bel.tr" TargetMode="External"/><Relationship Id="rId544" Type="http://schemas.openxmlformats.org/officeDocument/2006/relationships/hyperlink" Target="https://www.dargecit.bel.tr" TargetMode="External"/><Relationship Id="rId786" Type="http://schemas.openxmlformats.org/officeDocument/2006/relationships/hyperlink" Target="http://www.bayburt.bel.tr" TargetMode="External"/><Relationship Id="rId309" Type="http://schemas.openxmlformats.org/officeDocument/2006/relationships/hyperlink" Target="http://www.mersinaydincik.bel.tr" TargetMode="External"/><Relationship Id="rId308" Type="http://schemas.openxmlformats.org/officeDocument/2006/relationships/hyperlink" Target="http://www.anamur.bel.tr" TargetMode="External"/><Relationship Id="rId307" Type="http://schemas.openxmlformats.org/officeDocument/2006/relationships/hyperlink" Target="http://www.akdeniz.bel.tr" TargetMode="External"/><Relationship Id="rId549" Type="http://schemas.openxmlformats.org/officeDocument/2006/relationships/hyperlink" Target="https://www.nusaybin.bel.tr" TargetMode="External"/><Relationship Id="rId306" Type="http://schemas.openxmlformats.org/officeDocument/2006/relationships/hyperlink" Target="http://www.yenisarbademli.bel.tr" TargetMode="External"/><Relationship Id="rId548" Type="http://schemas.openxmlformats.org/officeDocument/2006/relationships/hyperlink" Target="https://www.midyat.bel.tr" TargetMode="External"/><Relationship Id="rId781" Type="http://schemas.openxmlformats.org/officeDocument/2006/relationships/hyperlink" Target="http://www.gulagac.bel.tr" TargetMode="External"/><Relationship Id="rId780" Type="http://schemas.openxmlformats.org/officeDocument/2006/relationships/hyperlink" Target="http://www.eskil.bel.tr" TargetMode="External"/><Relationship Id="rId301" Type="http://schemas.openxmlformats.org/officeDocument/2006/relationships/hyperlink" Target="http://www.senirkent.bel.tr" TargetMode="External"/><Relationship Id="rId543" Type="http://schemas.openxmlformats.org/officeDocument/2006/relationships/hyperlink" Target="https://artuklu.bel.tr" TargetMode="External"/><Relationship Id="rId785" Type="http://schemas.openxmlformats.org/officeDocument/2006/relationships/hyperlink" Target="http://www.sultanhani.bel.tr" TargetMode="External"/><Relationship Id="rId300" Type="http://schemas.openxmlformats.org/officeDocument/2006/relationships/hyperlink" Target="http://www.keciborlu.bel.tr" TargetMode="External"/><Relationship Id="rId542" Type="http://schemas.openxmlformats.org/officeDocument/2006/relationships/hyperlink" Target="http://www.turkoglu.bel.tr" TargetMode="External"/><Relationship Id="rId784" Type="http://schemas.openxmlformats.org/officeDocument/2006/relationships/hyperlink" Target="http://www.sariyahsi.bel.tr" TargetMode="External"/><Relationship Id="rId541" Type="http://schemas.openxmlformats.org/officeDocument/2006/relationships/hyperlink" Target="http://www.pazarcik.bel.tr" TargetMode="External"/><Relationship Id="rId783" Type="http://schemas.openxmlformats.org/officeDocument/2006/relationships/hyperlink" Target="http://www.ortakoy.bel.tr" TargetMode="External"/><Relationship Id="rId540" Type="http://schemas.openxmlformats.org/officeDocument/2006/relationships/hyperlink" Target="http://www.onikisubat.bel.tr" TargetMode="External"/><Relationship Id="rId782" Type="http://schemas.openxmlformats.org/officeDocument/2006/relationships/hyperlink" Target="http://www.guzelyurt.bel.tr" TargetMode="External"/><Relationship Id="rId536" Type="http://schemas.openxmlformats.org/officeDocument/2006/relationships/hyperlink" Target="http://www.ekinozu.bel.tr" TargetMode="External"/><Relationship Id="rId778" Type="http://schemas.openxmlformats.org/officeDocument/2006/relationships/hyperlink" Target="http://www.aksaray.bel.tr" TargetMode="External"/><Relationship Id="rId535" Type="http://schemas.openxmlformats.org/officeDocument/2006/relationships/hyperlink" Target="http://www.dulkadiroglu.bel.tr" TargetMode="External"/><Relationship Id="rId777" Type="http://schemas.openxmlformats.org/officeDocument/2006/relationships/hyperlink" Target="http://www.kozlu.bel.tr" TargetMode="External"/><Relationship Id="rId534" Type="http://schemas.openxmlformats.org/officeDocument/2006/relationships/hyperlink" Target="http://www.caglayancerit.bel.tr" TargetMode="External"/><Relationship Id="rId776" Type="http://schemas.openxmlformats.org/officeDocument/2006/relationships/hyperlink" Target="http://www.kilimli.bel.tr" TargetMode="External"/><Relationship Id="rId533" Type="http://schemas.openxmlformats.org/officeDocument/2006/relationships/hyperlink" Target="http://www.andirin.bel.tr" TargetMode="External"/><Relationship Id="rId775" Type="http://schemas.openxmlformats.org/officeDocument/2006/relationships/hyperlink" Target="http://www.gokcebey.bel.tr" TargetMode="External"/><Relationship Id="rId539" Type="http://schemas.openxmlformats.org/officeDocument/2006/relationships/hyperlink" Target="http://www.nurhak.bel.tr" TargetMode="External"/><Relationship Id="rId538" Type="http://schemas.openxmlformats.org/officeDocument/2006/relationships/hyperlink" Target="http://www.goksun.bel.tr" TargetMode="External"/><Relationship Id="rId537" Type="http://schemas.openxmlformats.org/officeDocument/2006/relationships/hyperlink" Target="http://www.elbistan.bel.tr" TargetMode="External"/><Relationship Id="rId779" Type="http://schemas.openxmlformats.org/officeDocument/2006/relationships/hyperlink" Target="http://www.agacoren.bel.tr" TargetMode="External"/><Relationship Id="rId770" Type="http://schemas.openxmlformats.org/officeDocument/2006/relationships/hyperlink" Target="http://www.zonguldak.bel.tr" TargetMode="External"/><Relationship Id="rId532" Type="http://schemas.openxmlformats.org/officeDocument/2006/relationships/hyperlink" Target="http://www.afsin.bel.tr" TargetMode="External"/><Relationship Id="rId774" Type="http://schemas.openxmlformats.org/officeDocument/2006/relationships/hyperlink" Target="http://www.kdzeregli.bel.tr" TargetMode="External"/><Relationship Id="rId531" Type="http://schemas.openxmlformats.org/officeDocument/2006/relationships/hyperlink" Target="http://www.yunusemre.bel.tr" TargetMode="External"/><Relationship Id="rId773" Type="http://schemas.openxmlformats.org/officeDocument/2006/relationships/hyperlink" Target="http://www.devrek.bel.tr" TargetMode="External"/><Relationship Id="rId530" Type="http://schemas.openxmlformats.org/officeDocument/2006/relationships/hyperlink" Target="http://www.turgutlu.bel.tr" TargetMode="External"/><Relationship Id="rId772" Type="http://schemas.openxmlformats.org/officeDocument/2006/relationships/hyperlink" Target="http://www.caycuma.bel.tr" TargetMode="External"/><Relationship Id="rId771" Type="http://schemas.openxmlformats.org/officeDocument/2006/relationships/hyperlink" Target="http://www.alapli.bel.tr" TargetMode="External"/><Relationship Id="rId327" Type="http://schemas.openxmlformats.org/officeDocument/2006/relationships/hyperlink" Target="http://www.basaksehir.bel.tr" TargetMode="External"/><Relationship Id="rId569" Type="http://schemas.openxmlformats.org/officeDocument/2006/relationships/hyperlink" Target="http://www.malazgirt.bel.tr" TargetMode="External"/><Relationship Id="rId326" Type="http://schemas.openxmlformats.org/officeDocument/2006/relationships/hyperlink" Target="http://www.bakirkoy.bel.tr" TargetMode="External"/><Relationship Id="rId568" Type="http://schemas.openxmlformats.org/officeDocument/2006/relationships/hyperlink" Target="http://www.haskoy.bel.tr" TargetMode="External"/><Relationship Id="rId325" Type="http://schemas.openxmlformats.org/officeDocument/2006/relationships/hyperlink" Target="http://www.bahcelievler.bel.tr" TargetMode="External"/><Relationship Id="rId567" Type="http://schemas.openxmlformats.org/officeDocument/2006/relationships/hyperlink" Target="http://www.bulanik.bel.tr" TargetMode="External"/><Relationship Id="rId324" Type="http://schemas.openxmlformats.org/officeDocument/2006/relationships/hyperlink" Target="http://www.bagcilar.bel.tr" TargetMode="External"/><Relationship Id="rId566" Type="http://schemas.openxmlformats.org/officeDocument/2006/relationships/hyperlink" Target="http://www.mus.bel.tr" TargetMode="External"/><Relationship Id="rId329" Type="http://schemas.openxmlformats.org/officeDocument/2006/relationships/hyperlink" Target="http://besiktas.bel.tr" TargetMode="External"/><Relationship Id="rId328" Type="http://schemas.openxmlformats.org/officeDocument/2006/relationships/hyperlink" Target="http://www.bayrampasa.bel.tr" TargetMode="External"/><Relationship Id="rId561" Type="http://schemas.openxmlformats.org/officeDocument/2006/relationships/hyperlink" Target="http://www.milas.bel.tr" TargetMode="External"/><Relationship Id="rId560" Type="http://schemas.openxmlformats.org/officeDocument/2006/relationships/hyperlink" Target="http://www.mentese.bel.tr" TargetMode="External"/><Relationship Id="rId323" Type="http://schemas.openxmlformats.org/officeDocument/2006/relationships/hyperlink" Target="http://www.avcilar.bel.tr" TargetMode="External"/><Relationship Id="rId565" Type="http://schemas.openxmlformats.org/officeDocument/2006/relationships/hyperlink" Target="http://www.yatagan.bel.tr" TargetMode="External"/><Relationship Id="rId322" Type="http://schemas.openxmlformats.org/officeDocument/2006/relationships/hyperlink" Target="http://www.atasehir.bel.tr" TargetMode="External"/><Relationship Id="rId564" Type="http://schemas.openxmlformats.org/officeDocument/2006/relationships/hyperlink" Target="http://www.ula.bel.tr" TargetMode="External"/><Relationship Id="rId321" Type="http://schemas.openxmlformats.org/officeDocument/2006/relationships/hyperlink" Target="http://www.arnavutkoy.bel.tr" TargetMode="External"/><Relationship Id="rId563" Type="http://schemas.openxmlformats.org/officeDocument/2006/relationships/hyperlink" Target="http://www.seydikemer.bel.tr" TargetMode="External"/><Relationship Id="rId320" Type="http://schemas.openxmlformats.org/officeDocument/2006/relationships/hyperlink" Target="http://adalar.bel.tr" TargetMode="External"/><Relationship Id="rId562" Type="http://schemas.openxmlformats.org/officeDocument/2006/relationships/hyperlink" Target="http://www.ortaca.bel.tr" TargetMode="External"/><Relationship Id="rId316" Type="http://schemas.openxmlformats.org/officeDocument/2006/relationships/hyperlink" Target="http://www.silifke.bel.tr" TargetMode="External"/><Relationship Id="rId558" Type="http://schemas.openxmlformats.org/officeDocument/2006/relationships/hyperlink" Target="http://www.koycegiz.bel.tr" TargetMode="External"/><Relationship Id="rId315" Type="http://schemas.openxmlformats.org/officeDocument/2006/relationships/hyperlink" Target="http://www.mut.bel.tr" TargetMode="External"/><Relationship Id="rId557" Type="http://schemas.openxmlformats.org/officeDocument/2006/relationships/hyperlink" Target="http://www.kavaklidere.bel.tr" TargetMode="External"/><Relationship Id="rId799" Type="http://schemas.openxmlformats.org/officeDocument/2006/relationships/hyperlink" Target="http://www.delice.bel.tr" TargetMode="External"/><Relationship Id="rId314" Type="http://schemas.openxmlformats.org/officeDocument/2006/relationships/hyperlink" Target="http://mezitli.bel.tr" TargetMode="External"/><Relationship Id="rId556" Type="http://schemas.openxmlformats.org/officeDocument/2006/relationships/hyperlink" Target="http://www.fethiye.bel.tr" TargetMode="External"/><Relationship Id="rId798" Type="http://schemas.openxmlformats.org/officeDocument/2006/relationships/hyperlink" Target="http://www.celebi.bel.tr" TargetMode="External"/><Relationship Id="rId313" Type="http://schemas.openxmlformats.org/officeDocument/2006/relationships/hyperlink" Target="http://www.gulnar.bel.tr" TargetMode="External"/><Relationship Id="rId555" Type="http://schemas.openxmlformats.org/officeDocument/2006/relationships/hyperlink" Target="http://www.datca.bel.tr" TargetMode="External"/><Relationship Id="rId797" Type="http://schemas.openxmlformats.org/officeDocument/2006/relationships/hyperlink" Target="http://www.baliseyh.bel.tr" TargetMode="External"/><Relationship Id="rId319" Type="http://schemas.openxmlformats.org/officeDocument/2006/relationships/hyperlink" Target="http://www.yenisehir.bel.tr" TargetMode="External"/><Relationship Id="rId318" Type="http://schemas.openxmlformats.org/officeDocument/2006/relationships/hyperlink" Target="http://toroslar-bld.gov.tr" TargetMode="External"/><Relationship Id="rId317" Type="http://schemas.openxmlformats.org/officeDocument/2006/relationships/hyperlink" Target="http://www.tarsus.bel.tr" TargetMode="External"/><Relationship Id="rId559" Type="http://schemas.openxmlformats.org/officeDocument/2006/relationships/hyperlink" Target="http://www.marmaris.bel.tr" TargetMode="External"/><Relationship Id="rId550" Type="http://schemas.openxmlformats.org/officeDocument/2006/relationships/hyperlink" Target="https://www.omerli.bel.tr" TargetMode="External"/><Relationship Id="rId792" Type="http://schemas.openxmlformats.org/officeDocument/2006/relationships/hyperlink" Target="http://ermenek.bel.tr" TargetMode="External"/><Relationship Id="rId791" Type="http://schemas.openxmlformats.org/officeDocument/2006/relationships/hyperlink" Target="http://www.basyayla.bel.tr" TargetMode="External"/><Relationship Id="rId790" Type="http://schemas.openxmlformats.org/officeDocument/2006/relationships/hyperlink" Target="http://www.ayranci.bel.tr" TargetMode="External"/><Relationship Id="rId312" Type="http://schemas.openxmlformats.org/officeDocument/2006/relationships/hyperlink" Target="http://www.erdemli.bel.tr" TargetMode="External"/><Relationship Id="rId554" Type="http://schemas.openxmlformats.org/officeDocument/2006/relationships/hyperlink" Target="http://www.dalaman.bel.tr" TargetMode="External"/><Relationship Id="rId796" Type="http://schemas.openxmlformats.org/officeDocument/2006/relationships/hyperlink" Target="http://www.bahsili.bel.tr" TargetMode="External"/><Relationship Id="rId311" Type="http://schemas.openxmlformats.org/officeDocument/2006/relationships/hyperlink" Target="http://www.camliyayla.bel.tr" TargetMode="External"/><Relationship Id="rId553" Type="http://schemas.openxmlformats.org/officeDocument/2006/relationships/hyperlink" Target="http://www.bodrum.bel.tr" TargetMode="External"/><Relationship Id="rId795" Type="http://schemas.openxmlformats.org/officeDocument/2006/relationships/hyperlink" Target="http://www.kirikkale.bel.tr" TargetMode="External"/><Relationship Id="rId310" Type="http://schemas.openxmlformats.org/officeDocument/2006/relationships/hyperlink" Target="http://www.bozyazi.bel.tr" TargetMode="External"/><Relationship Id="rId552" Type="http://schemas.openxmlformats.org/officeDocument/2006/relationships/hyperlink" Target="https://www.yesilli.bel.tr" TargetMode="External"/><Relationship Id="rId794" Type="http://schemas.openxmlformats.org/officeDocument/2006/relationships/hyperlink" Target="http://www.sariveliler.bel.tr" TargetMode="External"/><Relationship Id="rId551" Type="http://schemas.openxmlformats.org/officeDocument/2006/relationships/hyperlink" Target="https://www.savur.bel.tr" TargetMode="External"/><Relationship Id="rId793" Type="http://schemas.openxmlformats.org/officeDocument/2006/relationships/hyperlink" Target="http://www.kazimkarabekir.bel.tr" TargetMode="External"/><Relationship Id="rId297" Type="http://schemas.openxmlformats.org/officeDocument/2006/relationships/hyperlink" Target="http://www.egirdir.bel.tr" TargetMode="External"/><Relationship Id="rId296" Type="http://schemas.openxmlformats.org/officeDocument/2006/relationships/hyperlink" Target="http://www.atabey.bel.tr" TargetMode="External"/><Relationship Id="rId295" Type="http://schemas.openxmlformats.org/officeDocument/2006/relationships/hyperlink" Target="http://www.aksubelediyesi.bel.tr" TargetMode="External"/><Relationship Id="rId294" Type="http://schemas.openxmlformats.org/officeDocument/2006/relationships/hyperlink" Target="http://www.isparta.bel.tr" TargetMode="External"/><Relationship Id="rId299" Type="http://schemas.openxmlformats.org/officeDocument/2006/relationships/hyperlink" Target="http://www.gonen.bel.tr" TargetMode="External"/><Relationship Id="rId298" Type="http://schemas.openxmlformats.org/officeDocument/2006/relationships/hyperlink" Target="http://www.gelendost.bel.tr" TargetMode="External"/><Relationship Id="rId271" Type="http://schemas.openxmlformats.org/officeDocument/2006/relationships/hyperlink" Target="http://www.siran.bel.tr" TargetMode="External"/><Relationship Id="rId270" Type="http://schemas.openxmlformats.org/officeDocument/2006/relationships/hyperlink" Target="http://www.kurtun.bel.tr" TargetMode="External"/><Relationship Id="rId269" Type="http://schemas.openxmlformats.org/officeDocument/2006/relationships/hyperlink" Target="http://www.kose.bel.tr" TargetMode="External"/><Relationship Id="rId264" Type="http://schemas.openxmlformats.org/officeDocument/2006/relationships/hyperlink" Target="https://www.sebinkarahisar.bel.tr" TargetMode="External"/><Relationship Id="rId263" Type="http://schemas.openxmlformats.org/officeDocument/2006/relationships/hyperlink" Target="https://piraziz.bel.tr" TargetMode="External"/><Relationship Id="rId262" Type="http://schemas.openxmlformats.org/officeDocument/2006/relationships/hyperlink" Target="https://www.kesap.bel.tr" TargetMode="External"/><Relationship Id="rId261" Type="http://schemas.openxmlformats.org/officeDocument/2006/relationships/hyperlink" Target="https://www.guce.bel.tr" TargetMode="External"/><Relationship Id="rId268" Type="http://schemas.openxmlformats.org/officeDocument/2006/relationships/hyperlink" Target="http://www.kelkit.bel.tr" TargetMode="External"/><Relationship Id="rId267" Type="http://schemas.openxmlformats.org/officeDocument/2006/relationships/hyperlink" Target="http://www.gumushane.bel.tr" TargetMode="External"/><Relationship Id="rId266" Type="http://schemas.openxmlformats.org/officeDocument/2006/relationships/hyperlink" Target="https://www.yaglidere.bel.tr" TargetMode="External"/><Relationship Id="rId265" Type="http://schemas.openxmlformats.org/officeDocument/2006/relationships/hyperlink" Target="https://www.tirebolu.bel.tr" TargetMode="External"/><Relationship Id="rId260" Type="http://schemas.openxmlformats.org/officeDocument/2006/relationships/hyperlink" Target="https://www.gorele.bel.tr" TargetMode="External"/><Relationship Id="rId259" Type="http://schemas.openxmlformats.org/officeDocument/2006/relationships/hyperlink" Target="https://www.eynesil.bel.tr" TargetMode="External"/><Relationship Id="rId258" Type="http://schemas.openxmlformats.org/officeDocument/2006/relationships/hyperlink" Target="https://www.espiye.bel.tr" TargetMode="External"/><Relationship Id="rId253" Type="http://schemas.openxmlformats.org/officeDocument/2006/relationships/hyperlink" Target="https://www.bulancak.bel.tr" TargetMode="External"/><Relationship Id="rId495" Type="http://schemas.openxmlformats.org/officeDocument/2006/relationships/hyperlink" Target="http://www.emet.bel.tr" TargetMode="External"/><Relationship Id="rId252" Type="http://schemas.openxmlformats.org/officeDocument/2006/relationships/hyperlink" Target="https://www.alucra.bel.tr" TargetMode="External"/><Relationship Id="rId494" Type="http://schemas.openxmlformats.org/officeDocument/2006/relationships/hyperlink" Target="http://www.dumlupinar.bel.tr" TargetMode="External"/><Relationship Id="rId251" Type="http://schemas.openxmlformats.org/officeDocument/2006/relationships/hyperlink" Target="https://giresun.bel.tr" TargetMode="External"/><Relationship Id="rId493" Type="http://schemas.openxmlformats.org/officeDocument/2006/relationships/hyperlink" Target="http://www.domanic.bel.tr" TargetMode="External"/><Relationship Id="rId250" Type="http://schemas.openxmlformats.org/officeDocument/2006/relationships/hyperlink" Target="http://www.yavuzeli.bel.tr" TargetMode="External"/><Relationship Id="rId492" Type="http://schemas.openxmlformats.org/officeDocument/2006/relationships/hyperlink" Target="http://www.cavdarhisar.bel.tr" TargetMode="External"/><Relationship Id="rId257" Type="http://schemas.openxmlformats.org/officeDocument/2006/relationships/hyperlink" Target="https://www.dogankent.bel.tr" TargetMode="External"/><Relationship Id="rId499" Type="http://schemas.openxmlformats.org/officeDocument/2006/relationships/hyperlink" Target="http://www.simav.bel.tr" TargetMode="External"/><Relationship Id="rId256" Type="http://schemas.openxmlformats.org/officeDocument/2006/relationships/hyperlink" Target="https://www.dereli.bel.tr" TargetMode="External"/><Relationship Id="rId498" Type="http://schemas.openxmlformats.org/officeDocument/2006/relationships/hyperlink" Target="http://www.pazarlar.bel.tr" TargetMode="External"/><Relationship Id="rId255" Type="http://schemas.openxmlformats.org/officeDocument/2006/relationships/hyperlink" Target="https://www.canakci.bel.tr" TargetMode="External"/><Relationship Id="rId497" Type="http://schemas.openxmlformats.org/officeDocument/2006/relationships/hyperlink" Target="http://www.hisarcik.bel.tr" TargetMode="External"/><Relationship Id="rId254" Type="http://schemas.openxmlformats.org/officeDocument/2006/relationships/hyperlink" Target="https://camoluk.bel.tr" TargetMode="External"/><Relationship Id="rId496" Type="http://schemas.openxmlformats.org/officeDocument/2006/relationships/hyperlink" Target="http://www.gediz.bel.tr" TargetMode="External"/><Relationship Id="rId293" Type="http://schemas.openxmlformats.org/officeDocument/2006/relationships/hyperlink" Target="http://www.yayladagi.bel.tr" TargetMode="External"/><Relationship Id="rId292" Type="http://schemas.openxmlformats.org/officeDocument/2006/relationships/hyperlink" Target="http://www.samandag.bel.tr" TargetMode="External"/><Relationship Id="rId291" Type="http://schemas.openxmlformats.org/officeDocument/2006/relationships/hyperlink" Target="http://www.reyhanli.bel.tr" TargetMode="External"/><Relationship Id="rId290" Type="http://schemas.openxmlformats.org/officeDocument/2006/relationships/hyperlink" Target="http://www.payas.bel.tr" TargetMode="External"/><Relationship Id="rId286" Type="http://schemas.openxmlformats.org/officeDocument/2006/relationships/hyperlink" Target="http://www.hassa.bel.tr" TargetMode="External"/><Relationship Id="rId285" Type="http://schemas.openxmlformats.org/officeDocument/2006/relationships/hyperlink" Target="http://www.erzin.bel.tr" TargetMode="External"/><Relationship Id="rId284" Type="http://schemas.openxmlformats.org/officeDocument/2006/relationships/hyperlink" Target="http://www.dortyol.bel.tr" TargetMode="External"/><Relationship Id="rId283" Type="http://schemas.openxmlformats.org/officeDocument/2006/relationships/hyperlink" Target="http://www.defne.bel.tr" TargetMode="External"/><Relationship Id="rId289" Type="http://schemas.openxmlformats.org/officeDocument/2006/relationships/hyperlink" Target="http://www.kumlu.bel.tr" TargetMode="External"/><Relationship Id="rId288" Type="http://schemas.openxmlformats.org/officeDocument/2006/relationships/hyperlink" Target="http://www.kirikhan.bel.tr" TargetMode="External"/><Relationship Id="rId287" Type="http://schemas.openxmlformats.org/officeDocument/2006/relationships/hyperlink" Target="http://www.iskenderun.bel.tr" TargetMode="External"/><Relationship Id="rId282" Type="http://schemas.openxmlformats.org/officeDocument/2006/relationships/hyperlink" Target="http://www.belen.bel.tr" TargetMode="External"/><Relationship Id="rId281" Type="http://schemas.openxmlformats.org/officeDocument/2006/relationships/hyperlink" Target="http://www.arsuz.bel.tr" TargetMode="External"/><Relationship Id="rId280" Type="http://schemas.openxmlformats.org/officeDocument/2006/relationships/hyperlink" Target="http://www.antakya.bel.tr" TargetMode="External"/><Relationship Id="rId275" Type="http://schemas.openxmlformats.org/officeDocument/2006/relationships/hyperlink" Target="http://www.derecik.bel.tr" TargetMode="External"/><Relationship Id="rId274" Type="http://schemas.openxmlformats.org/officeDocument/2006/relationships/hyperlink" Target="http://www.cukurca.bel.tr" TargetMode="External"/><Relationship Id="rId273" Type="http://schemas.openxmlformats.org/officeDocument/2006/relationships/hyperlink" Target="http://www.hakkari.bel.tr" TargetMode="External"/><Relationship Id="rId272" Type="http://schemas.openxmlformats.org/officeDocument/2006/relationships/hyperlink" Target="http://www.torul.bel.tr" TargetMode="External"/><Relationship Id="rId279" Type="http://schemas.openxmlformats.org/officeDocument/2006/relationships/hyperlink" Target="http://www.altinozu.bel.tr" TargetMode="External"/><Relationship Id="rId278" Type="http://schemas.openxmlformats.org/officeDocument/2006/relationships/hyperlink" Target="http://www.hatay.bel.tr" TargetMode="External"/><Relationship Id="rId277" Type="http://schemas.openxmlformats.org/officeDocument/2006/relationships/hyperlink" Target="http://www.yuksekova.bel.tr" TargetMode="External"/><Relationship Id="rId276" Type="http://schemas.openxmlformats.org/officeDocument/2006/relationships/hyperlink" Target="http://www.semdinli.bel.tr/" TargetMode="External"/><Relationship Id="rId629" Type="http://schemas.openxmlformats.org/officeDocument/2006/relationships/hyperlink" Target="http://www.serdivan.bel.tr" TargetMode="External"/><Relationship Id="rId624" Type="http://schemas.openxmlformats.org/officeDocument/2006/relationships/hyperlink" Target="http://www.karasu.bel.tr" TargetMode="External"/><Relationship Id="rId623" Type="http://schemas.openxmlformats.org/officeDocument/2006/relationships/hyperlink" Target="http://www.karapurcek.bel.tr" TargetMode="External"/><Relationship Id="rId622" Type="http://schemas.openxmlformats.org/officeDocument/2006/relationships/hyperlink" Target="http://www.hendek.bel.tr" TargetMode="External"/><Relationship Id="rId621" Type="http://schemas.openxmlformats.org/officeDocument/2006/relationships/hyperlink" Target="http://www.geyve.bel.tr" TargetMode="External"/><Relationship Id="rId628" Type="http://schemas.openxmlformats.org/officeDocument/2006/relationships/hyperlink" Target="http://www.sapanca.bel.tr" TargetMode="External"/><Relationship Id="rId627" Type="http://schemas.openxmlformats.org/officeDocument/2006/relationships/hyperlink" Target="http://www.pamukova.bel.tr" TargetMode="External"/><Relationship Id="rId626" Type="http://schemas.openxmlformats.org/officeDocument/2006/relationships/hyperlink" Target="http://www.kocaali.bel.tr" TargetMode="External"/><Relationship Id="rId625" Type="http://schemas.openxmlformats.org/officeDocument/2006/relationships/hyperlink" Target="http://sakaryakaynarca.bel.tr" TargetMode="External"/><Relationship Id="rId620" Type="http://schemas.openxmlformats.org/officeDocument/2006/relationships/hyperlink" Target="http://www.ferizli.bel.tr" TargetMode="External"/><Relationship Id="rId862" Type="http://schemas.openxmlformats.org/officeDocument/2006/relationships/drawing" Target="../drawings/drawing1.xml"/><Relationship Id="rId861" Type="http://schemas.openxmlformats.org/officeDocument/2006/relationships/hyperlink" Target="https://yigilca.bel.tr" TargetMode="External"/><Relationship Id="rId860" Type="http://schemas.openxmlformats.org/officeDocument/2006/relationships/hyperlink" Target="http://www.kaynasli.bel.tr" TargetMode="External"/><Relationship Id="rId619" Type="http://schemas.openxmlformats.org/officeDocument/2006/relationships/hyperlink" Target="http://www.erenler.bel.tr" TargetMode="External"/><Relationship Id="rId618" Type="http://schemas.openxmlformats.org/officeDocument/2006/relationships/hyperlink" Target="http://www.arifiye.bel.tr" TargetMode="External"/><Relationship Id="rId613" Type="http://schemas.openxmlformats.org/officeDocument/2006/relationships/hyperlink" Target="http://www.iyidere.bel.tr" TargetMode="External"/><Relationship Id="rId855" Type="http://schemas.openxmlformats.org/officeDocument/2006/relationships/hyperlink" Target="https://www.akcakoca.bel.tr" TargetMode="External"/><Relationship Id="rId612" Type="http://schemas.openxmlformats.org/officeDocument/2006/relationships/hyperlink" Target="http://www.ikizdere.bel.tr" TargetMode="External"/><Relationship Id="rId854" Type="http://schemas.openxmlformats.org/officeDocument/2006/relationships/hyperlink" Target="https://duzce.bel.tr" TargetMode="External"/><Relationship Id="rId611" Type="http://schemas.openxmlformats.org/officeDocument/2006/relationships/hyperlink" Target="http://www.hemsin.bel.tr" TargetMode="External"/><Relationship Id="rId853" Type="http://schemas.openxmlformats.org/officeDocument/2006/relationships/hyperlink" Target="http://www.toprakkale.bel.tr" TargetMode="External"/><Relationship Id="rId610" Type="http://schemas.openxmlformats.org/officeDocument/2006/relationships/hyperlink" Target="http://www.guneysu.bel.tr" TargetMode="External"/><Relationship Id="rId852" Type="http://schemas.openxmlformats.org/officeDocument/2006/relationships/hyperlink" Target="http://www.sumbas.bel.tr" TargetMode="External"/><Relationship Id="rId617" Type="http://schemas.openxmlformats.org/officeDocument/2006/relationships/hyperlink" Target="http://www.akyazi.bel.tr" TargetMode="External"/><Relationship Id="rId859" Type="http://schemas.openxmlformats.org/officeDocument/2006/relationships/hyperlink" Target="https://www.gumusova.bel.tr" TargetMode="External"/><Relationship Id="rId616" Type="http://schemas.openxmlformats.org/officeDocument/2006/relationships/hyperlink" Target="http://www.adapazari.bel.tr" TargetMode="External"/><Relationship Id="rId858" Type="http://schemas.openxmlformats.org/officeDocument/2006/relationships/hyperlink" Target="https://www.golyaka.bel.tr" TargetMode="External"/><Relationship Id="rId615" Type="http://schemas.openxmlformats.org/officeDocument/2006/relationships/hyperlink" Target="http://pazar.bel.tr" TargetMode="External"/><Relationship Id="rId857" Type="http://schemas.openxmlformats.org/officeDocument/2006/relationships/hyperlink" Target="https://www.cilimli.bel.tr" TargetMode="External"/><Relationship Id="rId614" Type="http://schemas.openxmlformats.org/officeDocument/2006/relationships/hyperlink" Target="http://www.kalkandere.bel.tr" TargetMode="External"/><Relationship Id="rId856" Type="http://schemas.openxmlformats.org/officeDocument/2006/relationships/hyperlink" Target="https://www.cumayeri.bel.tr" TargetMode="External"/><Relationship Id="rId851" Type="http://schemas.openxmlformats.org/officeDocument/2006/relationships/hyperlink" Target="http://www.kadirli.bel.tr" TargetMode="External"/><Relationship Id="rId850" Type="http://schemas.openxmlformats.org/officeDocument/2006/relationships/hyperlink" Target="http://www.hasanbeyli.bel.tr" TargetMode="External"/><Relationship Id="rId409" Type="http://schemas.openxmlformats.org/officeDocument/2006/relationships/hyperlink" Target="https://www.inebolu.bel.tr/" TargetMode="External"/><Relationship Id="rId404" Type="http://schemas.openxmlformats.org/officeDocument/2006/relationships/hyperlink" Target="https://www.daday.bel.tr/" TargetMode="External"/><Relationship Id="rId646" Type="http://schemas.openxmlformats.org/officeDocument/2006/relationships/hyperlink" Target="http://www.terme.bel.tr" TargetMode="External"/><Relationship Id="rId403" Type="http://schemas.openxmlformats.org/officeDocument/2006/relationships/hyperlink" Target="https://www.catalzeytin.bel.tr/" TargetMode="External"/><Relationship Id="rId645" Type="http://schemas.openxmlformats.org/officeDocument/2006/relationships/hyperlink" Target="http://www.tekkekoy.bel.tr" TargetMode="External"/><Relationship Id="rId402" Type="http://schemas.openxmlformats.org/officeDocument/2006/relationships/hyperlink" Target="https://www.cide.bel.tr/" TargetMode="External"/><Relationship Id="rId644" Type="http://schemas.openxmlformats.org/officeDocument/2006/relationships/hyperlink" Target="http://www.salipazari.bel.tr" TargetMode="External"/><Relationship Id="rId401" Type="http://schemas.openxmlformats.org/officeDocument/2006/relationships/hyperlink" Target="https://www.bozkurt.bel.tr/" TargetMode="External"/><Relationship Id="rId643" Type="http://schemas.openxmlformats.org/officeDocument/2006/relationships/hyperlink" Target="http://www.19mayis.bel.tr" TargetMode="External"/><Relationship Id="rId408" Type="http://schemas.openxmlformats.org/officeDocument/2006/relationships/hyperlink" Target="https://www.ihsangazi.bel.tr/" TargetMode="External"/><Relationship Id="rId407" Type="http://schemas.openxmlformats.org/officeDocument/2006/relationships/hyperlink" Target="https://www.hanonu.bel.tr/" TargetMode="External"/><Relationship Id="rId649" Type="http://schemas.openxmlformats.org/officeDocument/2006/relationships/hyperlink" Target="http://www.sinop.bel.tr" TargetMode="External"/><Relationship Id="rId406" Type="http://schemas.openxmlformats.org/officeDocument/2006/relationships/hyperlink" Target="http://www.doganyurt.bel.tr/" TargetMode="External"/><Relationship Id="rId648" Type="http://schemas.openxmlformats.org/officeDocument/2006/relationships/hyperlink" Target="http://www.yakakent.bel.tr" TargetMode="External"/><Relationship Id="rId405" Type="http://schemas.openxmlformats.org/officeDocument/2006/relationships/hyperlink" Target="https://www.devrekani.bel.tr/" TargetMode="External"/><Relationship Id="rId647" Type="http://schemas.openxmlformats.org/officeDocument/2006/relationships/hyperlink" Target="http://www.vezirkopru.bel.tr" TargetMode="External"/><Relationship Id="rId400" Type="http://schemas.openxmlformats.org/officeDocument/2006/relationships/hyperlink" Target="https://www.azdavay.bel.tr/" TargetMode="External"/><Relationship Id="rId642" Type="http://schemas.openxmlformats.org/officeDocument/2006/relationships/hyperlink" Target="http://www.ladik.bel.tr" TargetMode="External"/><Relationship Id="rId641" Type="http://schemas.openxmlformats.org/officeDocument/2006/relationships/hyperlink" Target="http://www.samsunkavak.bel.tr" TargetMode="External"/><Relationship Id="rId640" Type="http://schemas.openxmlformats.org/officeDocument/2006/relationships/hyperlink" Target="http://www.ilkadim.bel.tr" TargetMode="External"/><Relationship Id="rId635" Type="http://schemas.openxmlformats.org/officeDocument/2006/relationships/hyperlink" Target="http://www.ayvacik.bel.tr" TargetMode="External"/><Relationship Id="rId634" Type="http://schemas.openxmlformats.org/officeDocument/2006/relationships/hyperlink" Target="http://www.atakum.bel.tr" TargetMode="External"/><Relationship Id="rId633" Type="http://schemas.openxmlformats.org/officeDocument/2006/relationships/hyperlink" Target="http://www.asarcik.bel.tr" TargetMode="External"/><Relationship Id="rId632" Type="http://schemas.openxmlformats.org/officeDocument/2006/relationships/hyperlink" Target="http://www.alacam.bel.tr" TargetMode="External"/><Relationship Id="rId639" Type="http://schemas.openxmlformats.org/officeDocument/2006/relationships/hyperlink" Target="http://www.havza.bel.tr" TargetMode="External"/><Relationship Id="rId638" Type="http://schemas.openxmlformats.org/officeDocument/2006/relationships/hyperlink" Target="http://www.carsamba.bel.tr" TargetMode="External"/><Relationship Id="rId637" Type="http://schemas.openxmlformats.org/officeDocument/2006/relationships/hyperlink" Target="http://www.canik.bel.tr" TargetMode="External"/><Relationship Id="rId636" Type="http://schemas.openxmlformats.org/officeDocument/2006/relationships/hyperlink" Target="http://www.bafra.bel.tr" TargetMode="External"/><Relationship Id="rId631" Type="http://schemas.openxmlformats.org/officeDocument/2006/relationships/hyperlink" Target="http://www.tarakli.bel.tr" TargetMode="External"/><Relationship Id="rId630" Type="http://schemas.openxmlformats.org/officeDocument/2006/relationships/hyperlink" Target="http://www.sogutlu.bel.tr" TargetMode="External"/><Relationship Id="rId829" Type="http://schemas.openxmlformats.org/officeDocument/2006/relationships/hyperlink" Target="http://www.karakoyunlu.bel.tr" TargetMode="External"/><Relationship Id="rId828" Type="http://schemas.openxmlformats.org/officeDocument/2006/relationships/hyperlink" Target="http://www.aralik.bel.tr" TargetMode="External"/><Relationship Id="rId827" Type="http://schemas.openxmlformats.org/officeDocument/2006/relationships/hyperlink" Target="http://www.igdir.bel.tr" TargetMode="External"/><Relationship Id="rId822" Type="http://schemas.openxmlformats.org/officeDocument/2006/relationships/hyperlink" Target="http://cildir.bel.tr" TargetMode="External"/><Relationship Id="rId821" Type="http://schemas.openxmlformats.org/officeDocument/2006/relationships/hyperlink" Target="http://www.ardahan.bel.tr" TargetMode="External"/><Relationship Id="rId820" Type="http://schemas.openxmlformats.org/officeDocument/2006/relationships/hyperlink" Target="https://www.ulus.bel.tr" TargetMode="External"/><Relationship Id="rId826" Type="http://schemas.openxmlformats.org/officeDocument/2006/relationships/hyperlink" Target="http://posof.bel.tr" TargetMode="External"/><Relationship Id="rId825" Type="http://schemas.openxmlformats.org/officeDocument/2006/relationships/hyperlink" Target="http://www.hanak.bel.tr" TargetMode="External"/><Relationship Id="rId824" Type="http://schemas.openxmlformats.org/officeDocument/2006/relationships/hyperlink" Target="http://www.gole.bel.tr" TargetMode="External"/><Relationship Id="rId823" Type="http://schemas.openxmlformats.org/officeDocument/2006/relationships/hyperlink" Target="http://www.damal.bel.tr" TargetMode="External"/><Relationship Id="rId819" Type="http://schemas.openxmlformats.org/officeDocument/2006/relationships/hyperlink" Target="https://www.kurucasile.bel.tr" TargetMode="External"/><Relationship Id="rId818" Type="http://schemas.openxmlformats.org/officeDocument/2006/relationships/hyperlink" Target="https://www.amasra.bel.tr" TargetMode="External"/><Relationship Id="rId817" Type="http://schemas.openxmlformats.org/officeDocument/2006/relationships/hyperlink" Target="https://bartin.bel.tr" TargetMode="External"/><Relationship Id="rId816" Type="http://schemas.openxmlformats.org/officeDocument/2006/relationships/hyperlink" Target="http://www.uludere.bel.tr" TargetMode="External"/><Relationship Id="rId811" Type="http://schemas.openxmlformats.org/officeDocument/2006/relationships/hyperlink" Target="http://www.cizre.bel.tr" TargetMode="External"/><Relationship Id="rId810" Type="http://schemas.openxmlformats.org/officeDocument/2006/relationships/hyperlink" Target="http://www.sirnak.bel.tr" TargetMode="External"/><Relationship Id="rId815" Type="http://schemas.openxmlformats.org/officeDocument/2006/relationships/hyperlink" Target="http://guclukonak.bel.tr" TargetMode="External"/><Relationship Id="rId814" Type="http://schemas.openxmlformats.org/officeDocument/2006/relationships/hyperlink" Target="http://www.beytussebap.bel.tr" TargetMode="External"/><Relationship Id="rId813" Type="http://schemas.openxmlformats.org/officeDocument/2006/relationships/hyperlink" Target="http://www.idil.bel.tr" TargetMode="External"/><Relationship Id="rId812" Type="http://schemas.openxmlformats.org/officeDocument/2006/relationships/hyperlink" Target="http://silopi.bel.tr" TargetMode="External"/><Relationship Id="rId609" Type="http://schemas.openxmlformats.org/officeDocument/2006/relationships/hyperlink" Target="http://findikli.bel.tr" TargetMode="External"/><Relationship Id="rId608" Type="http://schemas.openxmlformats.org/officeDocument/2006/relationships/hyperlink" Target="http://www.derepazari.bel.tr" TargetMode="External"/><Relationship Id="rId607" Type="http://schemas.openxmlformats.org/officeDocument/2006/relationships/hyperlink" Target="http://www.cayeli.bel.tr" TargetMode="External"/><Relationship Id="rId849" Type="http://schemas.openxmlformats.org/officeDocument/2006/relationships/hyperlink" Target="http://www.duzici.bel.tr" TargetMode="External"/><Relationship Id="rId602" Type="http://schemas.openxmlformats.org/officeDocument/2006/relationships/hyperlink" Target="http://www.ulubey.bel.tr" TargetMode="External"/><Relationship Id="rId844" Type="http://schemas.openxmlformats.org/officeDocument/2006/relationships/hyperlink" Target="http://elbeyli.bel.tr" TargetMode="External"/><Relationship Id="rId601" Type="http://schemas.openxmlformats.org/officeDocument/2006/relationships/hyperlink" Target="http://www.persembe.bel.tr" TargetMode="External"/><Relationship Id="rId843" Type="http://schemas.openxmlformats.org/officeDocument/2006/relationships/hyperlink" Target="http://www.kilis.bel.tr" TargetMode="External"/><Relationship Id="rId600" Type="http://schemas.openxmlformats.org/officeDocument/2006/relationships/hyperlink" Target="http://www.mesudiye.bel.tr" TargetMode="External"/><Relationship Id="rId842" Type="http://schemas.openxmlformats.org/officeDocument/2006/relationships/hyperlink" Target="http://www.yenice.bel.tr" TargetMode="External"/><Relationship Id="rId841" Type="http://schemas.openxmlformats.org/officeDocument/2006/relationships/hyperlink" Target="http://www.safranbolu.bel.tr" TargetMode="External"/><Relationship Id="rId606" Type="http://schemas.openxmlformats.org/officeDocument/2006/relationships/hyperlink" Target="http://camlihemsin.bel.tr" TargetMode="External"/><Relationship Id="rId848" Type="http://schemas.openxmlformats.org/officeDocument/2006/relationships/hyperlink" Target="http://www.bahce.bel.tr" TargetMode="External"/><Relationship Id="rId605" Type="http://schemas.openxmlformats.org/officeDocument/2006/relationships/hyperlink" Target="http://ardesen.bel.tr" TargetMode="External"/><Relationship Id="rId847" Type="http://schemas.openxmlformats.org/officeDocument/2006/relationships/hyperlink" Target="http://www.osmaniye-bld.gov.tr" TargetMode="External"/><Relationship Id="rId604" Type="http://schemas.openxmlformats.org/officeDocument/2006/relationships/hyperlink" Target="http://www.rize.bel.tr" TargetMode="External"/><Relationship Id="rId846" Type="http://schemas.openxmlformats.org/officeDocument/2006/relationships/hyperlink" Target="http://www.polatelibelediyesi.bel.tr" TargetMode="External"/><Relationship Id="rId603" Type="http://schemas.openxmlformats.org/officeDocument/2006/relationships/hyperlink" Target="http://www.unye.bel.tr" TargetMode="External"/><Relationship Id="rId845" Type="http://schemas.openxmlformats.org/officeDocument/2006/relationships/hyperlink" Target="http://www.musabeyli.bel.tr" TargetMode="External"/><Relationship Id="rId840" Type="http://schemas.openxmlformats.org/officeDocument/2006/relationships/hyperlink" Target="http://www.ovacik.bel.tr" TargetMode="External"/><Relationship Id="rId839" Type="http://schemas.openxmlformats.org/officeDocument/2006/relationships/hyperlink" Target="http://www.eskipazar.bel.tr" TargetMode="External"/><Relationship Id="rId838" Type="http://schemas.openxmlformats.org/officeDocument/2006/relationships/hyperlink" Target="http://www.eflani.bel.tr" TargetMode="External"/><Relationship Id="rId833" Type="http://schemas.openxmlformats.org/officeDocument/2006/relationships/hyperlink" Target="http://www.armutlu.bel.tr" TargetMode="External"/><Relationship Id="rId832" Type="http://schemas.openxmlformats.org/officeDocument/2006/relationships/hyperlink" Target="http://altinova.bel.tr" TargetMode="External"/><Relationship Id="rId831" Type="http://schemas.openxmlformats.org/officeDocument/2006/relationships/hyperlink" Target="http://www.yalova.bel.tr" TargetMode="External"/><Relationship Id="rId830" Type="http://schemas.openxmlformats.org/officeDocument/2006/relationships/hyperlink" Target="http://tuzluca.bel.tr" TargetMode="External"/><Relationship Id="rId837" Type="http://schemas.openxmlformats.org/officeDocument/2006/relationships/hyperlink" Target="http://www.karabuk.bel.tr" TargetMode="External"/><Relationship Id="rId836" Type="http://schemas.openxmlformats.org/officeDocument/2006/relationships/hyperlink" Target="http://termal.bel.tr" TargetMode="External"/><Relationship Id="rId835" Type="http://schemas.openxmlformats.org/officeDocument/2006/relationships/hyperlink" Target="http://www.yalovaciftlikkoy.bel.tr" TargetMode="External"/><Relationship Id="rId834" Type="http://schemas.openxmlformats.org/officeDocument/2006/relationships/hyperlink" Target="http://www.cinarcik.bel.tr" TargetMode="External"/><Relationship Id="rId228" Type="http://schemas.openxmlformats.org/officeDocument/2006/relationships/hyperlink" Target="http://www.odunpazari.bel.tr" TargetMode="External"/><Relationship Id="rId227" Type="http://schemas.openxmlformats.org/officeDocument/2006/relationships/hyperlink" Target="http://www.yakutiye.bel.tr" TargetMode="External"/><Relationship Id="rId469" Type="http://schemas.openxmlformats.org/officeDocument/2006/relationships/hyperlink" Target="http://www.doganhisar.bel.tr" TargetMode="External"/><Relationship Id="rId226" Type="http://schemas.openxmlformats.org/officeDocument/2006/relationships/hyperlink" Target="http://www.uzundere.bel.tr" TargetMode="External"/><Relationship Id="rId468" Type="http://schemas.openxmlformats.org/officeDocument/2006/relationships/hyperlink" Target="http://www.derebucak.bel.tr" TargetMode="External"/><Relationship Id="rId225" Type="http://schemas.openxmlformats.org/officeDocument/2006/relationships/hyperlink" Target="http://www.tortum.bel.tr" TargetMode="External"/><Relationship Id="rId467" Type="http://schemas.openxmlformats.org/officeDocument/2006/relationships/hyperlink" Target="http://www.derbent.bel.tr" TargetMode="External"/><Relationship Id="rId229" Type="http://schemas.openxmlformats.org/officeDocument/2006/relationships/hyperlink" Target="http://www.tepebasi.bel.tr" TargetMode="External"/><Relationship Id="rId220" Type="http://schemas.openxmlformats.org/officeDocument/2006/relationships/hyperlink" Target="http://www.palandoken.bel.tr" TargetMode="External"/><Relationship Id="rId462" Type="http://schemas.openxmlformats.org/officeDocument/2006/relationships/hyperlink" Target="http://www.beysehir.bel.tr" TargetMode="External"/><Relationship Id="rId461" Type="http://schemas.openxmlformats.org/officeDocument/2006/relationships/hyperlink" Target="http://www.altinekin.bel.tr" TargetMode="External"/><Relationship Id="rId460" Type="http://schemas.openxmlformats.org/officeDocument/2006/relationships/hyperlink" Target="http://www.aksehir.bel.tr" TargetMode="External"/><Relationship Id="rId224" Type="http://schemas.openxmlformats.org/officeDocument/2006/relationships/hyperlink" Target="http://www.tekman.bel.tr" TargetMode="External"/><Relationship Id="rId466" Type="http://schemas.openxmlformats.org/officeDocument/2006/relationships/hyperlink" Target="http://www.cumra.bel.tr" TargetMode="External"/><Relationship Id="rId223" Type="http://schemas.openxmlformats.org/officeDocument/2006/relationships/hyperlink" Target="http://www.senkaya.bel.tr" TargetMode="External"/><Relationship Id="rId465" Type="http://schemas.openxmlformats.org/officeDocument/2006/relationships/hyperlink" Target="http://www.celtik.bel.tr" TargetMode="External"/><Relationship Id="rId222" Type="http://schemas.openxmlformats.org/officeDocument/2006/relationships/hyperlink" Target="http://www.pazaryolu.bel.tr" TargetMode="External"/><Relationship Id="rId464" Type="http://schemas.openxmlformats.org/officeDocument/2006/relationships/hyperlink" Target="http://www.cihanbeyli.bel.tr" TargetMode="External"/><Relationship Id="rId221" Type="http://schemas.openxmlformats.org/officeDocument/2006/relationships/hyperlink" Target="http://www.pasinler.bel.tr" TargetMode="External"/><Relationship Id="rId463" Type="http://schemas.openxmlformats.org/officeDocument/2006/relationships/hyperlink" Target="http://www.bozkir.bel.tr" TargetMode="External"/><Relationship Id="rId217" Type="http://schemas.openxmlformats.org/officeDocument/2006/relationships/hyperlink" Target="http://www.narman.bel.tr" TargetMode="External"/><Relationship Id="rId459" Type="http://schemas.openxmlformats.org/officeDocument/2006/relationships/hyperlink" Target="http://www.akoren.bel.tr" TargetMode="External"/><Relationship Id="rId216" Type="http://schemas.openxmlformats.org/officeDocument/2006/relationships/hyperlink" Target="http://www.koprukoy.bel.tr" TargetMode="External"/><Relationship Id="rId458" Type="http://schemas.openxmlformats.org/officeDocument/2006/relationships/hyperlink" Target="http://www.ahirli.bel.tr" TargetMode="External"/><Relationship Id="rId215" Type="http://schemas.openxmlformats.org/officeDocument/2006/relationships/hyperlink" Target="http://www.karayazi.bel.tr" TargetMode="External"/><Relationship Id="rId457" Type="http://schemas.openxmlformats.org/officeDocument/2006/relationships/hyperlink" Target="http://www.korfez.bel.tr" TargetMode="External"/><Relationship Id="rId699" Type="http://schemas.openxmlformats.org/officeDocument/2006/relationships/hyperlink" Target="http://www.akcaabat.bel.tr" TargetMode="External"/><Relationship Id="rId214" Type="http://schemas.openxmlformats.org/officeDocument/2006/relationships/hyperlink" Target="http://www.karacoban.bel.tr" TargetMode="External"/><Relationship Id="rId456" Type="http://schemas.openxmlformats.org/officeDocument/2006/relationships/hyperlink" Target="http://www.kartepe.bel.tr" TargetMode="External"/><Relationship Id="rId698" Type="http://schemas.openxmlformats.org/officeDocument/2006/relationships/hyperlink" Target="http://www.trabzon.bel.tr" TargetMode="External"/><Relationship Id="rId219" Type="http://schemas.openxmlformats.org/officeDocument/2006/relationships/hyperlink" Target="http://www.olur.bel.tr" TargetMode="External"/><Relationship Id="rId218" Type="http://schemas.openxmlformats.org/officeDocument/2006/relationships/hyperlink" Target="http://www.oltu.bel.tr" TargetMode="External"/><Relationship Id="rId451" Type="http://schemas.openxmlformats.org/officeDocument/2006/relationships/hyperlink" Target="http://www.gebze.bel.tr" TargetMode="External"/><Relationship Id="rId693" Type="http://schemas.openxmlformats.org/officeDocument/2006/relationships/hyperlink" Target="https://resadiye.bel.tr" TargetMode="External"/><Relationship Id="rId450" Type="http://schemas.openxmlformats.org/officeDocument/2006/relationships/hyperlink" Target="http://www.dilovasi.bel.tr" TargetMode="External"/><Relationship Id="rId692" Type="http://schemas.openxmlformats.org/officeDocument/2006/relationships/hyperlink" Target="https://www.tokatpazar.bel.tr" TargetMode="External"/><Relationship Id="rId691" Type="http://schemas.openxmlformats.org/officeDocument/2006/relationships/hyperlink" Target="https://www.niksar.bel.tr" TargetMode="External"/><Relationship Id="rId690" Type="http://schemas.openxmlformats.org/officeDocument/2006/relationships/hyperlink" Target="https://www.erbaa.bel.tr" TargetMode="External"/><Relationship Id="rId213" Type="http://schemas.openxmlformats.org/officeDocument/2006/relationships/hyperlink" Target="http://www.ispir.bel.tr" TargetMode="External"/><Relationship Id="rId455" Type="http://schemas.openxmlformats.org/officeDocument/2006/relationships/hyperlink" Target="http://www.karamursel.bel.tr" TargetMode="External"/><Relationship Id="rId697" Type="http://schemas.openxmlformats.org/officeDocument/2006/relationships/hyperlink" Target="https://site.zile.bel.tr" TargetMode="External"/><Relationship Id="rId212" Type="http://schemas.openxmlformats.org/officeDocument/2006/relationships/hyperlink" Target="http://www.horasan.bel.tr" TargetMode="External"/><Relationship Id="rId454" Type="http://schemas.openxmlformats.org/officeDocument/2006/relationships/hyperlink" Target="http://www.kandira.bel.tr" TargetMode="External"/><Relationship Id="rId696" Type="http://schemas.openxmlformats.org/officeDocument/2006/relationships/hyperlink" Target="https://tokatyesilyurt.bel.tr" TargetMode="External"/><Relationship Id="rId211" Type="http://schemas.openxmlformats.org/officeDocument/2006/relationships/hyperlink" Target="http://www.hinis.bel.tr" TargetMode="External"/><Relationship Id="rId453" Type="http://schemas.openxmlformats.org/officeDocument/2006/relationships/hyperlink" Target="http://www.izmit.bel.tr" TargetMode="External"/><Relationship Id="rId695" Type="http://schemas.openxmlformats.org/officeDocument/2006/relationships/hyperlink" Target="https://www.turhal.bel.tr" TargetMode="External"/><Relationship Id="rId210" Type="http://schemas.openxmlformats.org/officeDocument/2006/relationships/hyperlink" Target="http://www.erzurumcat.bel.tr" TargetMode="External"/><Relationship Id="rId452" Type="http://schemas.openxmlformats.org/officeDocument/2006/relationships/hyperlink" Target="http://www.golcuk.bel.tr" TargetMode="External"/><Relationship Id="rId694" Type="http://schemas.openxmlformats.org/officeDocument/2006/relationships/hyperlink" Target="https://tokatsulusaray.bel.tr" TargetMode="External"/><Relationship Id="rId491" Type="http://schemas.openxmlformats.org/officeDocument/2006/relationships/hyperlink" Target="http://www.aslanapa.bel.tr" TargetMode="External"/><Relationship Id="rId490" Type="http://schemas.openxmlformats.org/officeDocument/2006/relationships/hyperlink" Target="http://www.altintas.bel.tr" TargetMode="External"/><Relationship Id="rId249" Type="http://schemas.openxmlformats.org/officeDocument/2006/relationships/hyperlink" Target="http://oguzeli.bel.tr" TargetMode="External"/><Relationship Id="rId248" Type="http://schemas.openxmlformats.org/officeDocument/2006/relationships/hyperlink" Target="http://nurdagi.bel.tr" TargetMode="External"/><Relationship Id="rId247" Type="http://schemas.openxmlformats.org/officeDocument/2006/relationships/hyperlink" Target="http://www.nizip.bel.tr" TargetMode="External"/><Relationship Id="rId489" Type="http://schemas.openxmlformats.org/officeDocument/2006/relationships/hyperlink" Target="http://www.kutahya.bel.tr" TargetMode="External"/><Relationship Id="rId242" Type="http://schemas.openxmlformats.org/officeDocument/2006/relationships/hyperlink" Target="http://www.sahinbey.bel.tr" TargetMode="External"/><Relationship Id="rId484" Type="http://schemas.openxmlformats.org/officeDocument/2006/relationships/hyperlink" Target="http://www.seydisehir.bel.tr" TargetMode="External"/><Relationship Id="rId241" Type="http://schemas.openxmlformats.org/officeDocument/2006/relationships/hyperlink" Target="http://www.sivrihisar.bel.tr" TargetMode="External"/><Relationship Id="rId483" Type="http://schemas.openxmlformats.org/officeDocument/2006/relationships/hyperlink" Target="http://www.selcuklu.bel.tr" TargetMode="External"/><Relationship Id="rId240" Type="http://schemas.openxmlformats.org/officeDocument/2006/relationships/hyperlink" Target="http://www.seyitgazi.bel.tr" TargetMode="External"/><Relationship Id="rId482" Type="http://schemas.openxmlformats.org/officeDocument/2006/relationships/hyperlink" Target="http://www.sarayonu.bel.tr" TargetMode="External"/><Relationship Id="rId481" Type="http://schemas.openxmlformats.org/officeDocument/2006/relationships/hyperlink" Target="http://www.meram.bel.tr" TargetMode="External"/><Relationship Id="rId246" Type="http://schemas.openxmlformats.org/officeDocument/2006/relationships/hyperlink" Target="http://karkamis.bel.tr" TargetMode="External"/><Relationship Id="rId488" Type="http://schemas.openxmlformats.org/officeDocument/2006/relationships/hyperlink" Target="http://www.yunak.bel.tr" TargetMode="External"/><Relationship Id="rId245" Type="http://schemas.openxmlformats.org/officeDocument/2006/relationships/hyperlink" Target="http://www.islahiye.bel.tr" TargetMode="External"/><Relationship Id="rId487" Type="http://schemas.openxmlformats.org/officeDocument/2006/relationships/hyperlink" Target="http://www.yalihuyuk.bel.tr" TargetMode="External"/><Relationship Id="rId244" Type="http://schemas.openxmlformats.org/officeDocument/2006/relationships/hyperlink" Target="http://araban.bel.tr" TargetMode="External"/><Relationship Id="rId486" Type="http://schemas.openxmlformats.org/officeDocument/2006/relationships/hyperlink" Target="http://www.tuzlukcu.bel.tr" TargetMode="External"/><Relationship Id="rId243" Type="http://schemas.openxmlformats.org/officeDocument/2006/relationships/hyperlink" Target="http://www.sehitkamil.bel.tr" TargetMode="External"/><Relationship Id="rId485" Type="http://schemas.openxmlformats.org/officeDocument/2006/relationships/hyperlink" Target="http://www.taskent.bel.tr" TargetMode="External"/><Relationship Id="rId480" Type="http://schemas.openxmlformats.org/officeDocument/2006/relationships/hyperlink" Target="http://www.kulu.bel.tr" TargetMode="External"/><Relationship Id="rId239" Type="http://schemas.openxmlformats.org/officeDocument/2006/relationships/hyperlink" Target="http://www.saricakaya.bel.tr" TargetMode="External"/><Relationship Id="rId238" Type="http://schemas.openxmlformats.org/officeDocument/2006/relationships/hyperlink" Target="http://www.mihaliccik.bel.tr" TargetMode="External"/><Relationship Id="rId237" Type="http://schemas.openxmlformats.org/officeDocument/2006/relationships/hyperlink" Target="http://www.mihalgazi.bel.tr" TargetMode="External"/><Relationship Id="rId479" Type="http://schemas.openxmlformats.org/officeDocument/2006/relationships/hyperlink" Target="http://www.karatay.bel.tr" TargetMode="External"/><Relationship Id="rId236" Type="http://schemas.openxmlformats.org/officeDocument/2006/relationships/hyperlink" Target="http://www.mahmudiye.bel.tr" TargetMode="External"/><Relationship Id="rId478" Type="http://schemas.openxmlformats.org/officeDocument/2006/relationships/hyperlink" Target="http://www.karapinar.bel.tr" TargetMode="External"/><Relationship Id="rId231" Type="http://schemas.openxmlformats.org/officeDocument/2006/relationships/hyperlink" Target="http://www.beylikova.bel.tr" TargetMode="External"/><Relationship Id="rId473" Type="http://schemas.openxmlformats.org/officeDocument/2006/relationships/hyperlink" Target="http://www.hadim.bel.tr" TargetMode="External"/><Relationship Id="rId230" Type="http://schemas.openxmlformats.org/officeDocument/2006/relationships/hyperlink" Target="http://www.alpu.bel.tr" TargetMode="External"/><Relationship Id="rId472" Type="http://schemas.openxmlformats.org/officeDocument/2006/relationships/hyperlink" Target="http://www.guneysinir.bel.tr" TargetMode="External"/><Relationship Id="rId471" Type="http://schemas.openxmlformats.org/officeDocument/2006/relationships/hyperlink" Target="http://www.eregli.bel.tr" TargetMode="External"/><Relationship Id="rId470" Type="http://schemas.openxmlformats.org/officeDocument/2006/relationships/hyperlink" Target="http://www.emirgazi.bel.tr" TargetMode="External"/><Relationship Id="rId235" Type="http://schemas.openxmlformats.org/officeDocument/2006/relationships/hyperlink" Target="http://www.inonu.bel.tr" TargetMode="External"/><Relationship Id="rId477" Type="http://schemas.openxmlformats.org/officeDocument/2006/relationships/hyperlink" Target="http://www.kadinhani.bel.tr" TargetMode="External"/><Relationship Id="rId234" Type="http://schemas.openxmlformats.org/officeDocument/2006/relationships/hyperlink" Target="http://www.han.bel.tr" TargetMode="External"/><Relationship Id="rId476" Type="http://schemas.openxmlformats.org/officeDocument/2006/relationships/hyperlink" Target="http://www.ilgin.bel.tr" TargetMode="External"/><Relationship Id="rId233" Type="http://schemas.openxmlformats.org/officeDocument/2006/relationships/hyperlink" Target="http://www.gunyuzu.bel.tr" TargetMode="External"/><Relationship Id="rId475" Type="http://schemas.openxmlformats.org/officeDocument/2006/relationships/hyperlink" Target="http://www.huyuk.bel.tr" TargetMode="External"/><Relationship Id="rId232" Type="http://schemas.openxmlformats.org/officeDocument/2006/relationships/hyperlink" Target="http://www.cifteler.bel.tr" TargetMode="External"/><Relationship Id="rId474" Type="http://schemas.openxmlformats.org/officeDocument/2006/relationships/hyperlink" Target="http://www.halkapinar.bel.tr" TargetMode="External"/><Relationship Id="rId426" Type="http://schemas.openxmlformats.org/officeDocument/2006/relationships/hyperlink" Target="https://www.pinarbasi38.bel.tr" TargetMode="External"/><Relationship Id="rId668" Type="http://schemas.openxmlformats.org/officeDocument/2006/relationships/hyperlink" Target="http://www.suruc.bel.tr" TargetMode="External"/><Relationship Id="rId425" Type="http://schemas.openxmlformats.org/officeDocument/2006/relationships/hyperlink" Target="https://ozvatan.bel.tr" TargetMode="External"/><Relationship Id="rId667" Type="http://schemas.openxmlformats.org/officeDocument/2006/relationships/hyperlink" Target="http://www.siverek.bel.tr" TargetMode="External"/><Relationship Id="rId424" Type="http://schemas.openxmlformats.org/officeDocument/2006/relationships/hyperlink" Target="http://turkeli.bel.tr" TargetMode="External"/><Relationship Id="rId666" Type="http://schemas.openxmlformats.org/officeDocument/2006/relationships/hyperlink" Target="http://www.hilvan.bel.tr" TargetMode="External"/><Relationship Id="rId423" Type="http://schemas.openxmlformats.org/officeDocument/2006/relationships/hyperlink" Target="http://www.sarayduzu.bel.tr" TargetMode="External"/><Relationship Id="rId665" Type="http://schemas.openxmlformats.org/officeDocument/2006/relationships/hyperlink" Target="http://www.harran.bel.tr" TargetMode="External"/><Relationship Id="rId429" Type="http://schemas.openxmlformats.org/officeDocument/2006/relationships/hyperlink" Target="https://www.tomarza.bel.tr" TargetMode="External"/><Relationship Id="rId428" Type="http://schemas.openxmlformats.org/officeDocument/2006/relationships/hyperlink" Target="https://www.sariz.bel.tr" TargetMode="External"/><Relationship Id="rId427" Type="http://schemas.openxmlformats.org/officeDocument/2006/relationships/hyperlink" Target="https://www.sarioglan.bel.tr" TargetMode="External"/><Relationship Id="rId669" Type="http://schemas.openxmlformats.org/officeDocument/2006/relationships/hyperlink" Target="http://www.viransehir.bel.tr" TargetMode="External"/><Relationship Id="rId660" Type="http://schemas.openxmlformats.org/officeDocument/2006/relationships/hyperlink" Target="http://www.bozova.bel.tr" TargetMode="External"/><Relationship Id="rId422" Type="http://schemas.openxmlformats.org/officeDocument/2006/relationships/hyperlink" Target="http://www.gerze.bel.tr" TargetMode="External"/><Relationship Id="rId664" Type="http://schemas.openxmlformats.org/officeDocument/2006/relationships/hyperlink" Target="http://www.haliliye.bel.tr" TargetMode="External"/><Relationship Id="rId421" Type="http://schemas.openxmlformats.org/officeDocument/2006/relationships/hyperlink" Target="http://www.erfelek.bel.tr" TargetMode="External"/><Relationship Id="rId663" Type="http://schemas.openxmlformats.org/officeDocument/2006/relationships/hyperlink" Target="http://www.halfeti.bel.tr" TargetMode="External"/><Relationship Id="rId420" Type="http://schemas.openxmlformats.org/officeDocument/2006/relationships/hyperlink" Target="http://www.duragan.bel.tr" TargetMode="External"/><Relationship Id="rId662" Type="http://schemas.openxmlformats.org/officeDocument/2006/relationships/hyperlink" Target="http://www.eyyubiye.bel.tr" TargetMode="External"/><Relationship Id="rId661" Type="http://schemas.openxmlformats.org/officeDocument/2006/relationships/hyperlink" Target="http://www.ceylanpinar.bel.tr" TargetMode="External"/><Relationship Id="rId415" Type="http://schemas.openxmlformats.org/officeDocument/2006/relationships/hyperlink" Target="https://tosya.bel.tr/" TargetMode="External"/><Relationship Id="rId657" Type="http://schemas.openxmlformats.org/officeDocument/2006/relationships/hyperlink" Target="http://turkeli.bel.tr" TargetMode="External"/><Relationship Id="rId414" Type="http://schemas.openxmlformats.org/officeDocument/2006/relationships/hyperlink" Target="https://taskopru.bel.tr/v1/" TargetMode="External"/><Relationship Id="rId656" Type="http://schemas.openxmlformats.org/officeDocument/2006/relationships/hyperlink" Target="http://www.sarayduzu.bel.tr" TargetMode="External"/><Relationship Id="rId413" Type="http://schemas.openxmlformats.org/officeDocument/2006/relationships/hyperlink" Target="https://www.senpazar.bel.tr/" TargetMode="External"/><Relationship Id="rId655" Type="http://schemas.openxmlformats.org/officeDocument/2006/relationships/hyperlink" Target="http://www.gerze.bel.tr" TargetMode="External"/><Relationship Id="rId412" Type="http://schemas.openxmlformats.org/officeDocument/2006/relationships/hyperlink" Target="https://www.seydiler.bel.tr/" TargetMode="External"/><Relationship Id="rId654" Type="http://schemas.openxmlformats.org/officeDocument/2006/relationships/hyperlink" Target="http://www.erfelek.bel.tr" TargetMode="External"/><Relationship Id="rId419" Type="http://schemas.openxmlformats.org/officeDocument/2006/relationships/hyperlink" Target="http://www.dikmen.bel.tr" TargetMode="External"/><Relationship Id="rId418" Type="http://schemas.openxmlformats.org/officeDocument/2006/relationships/hyperlink" Target="http://www.boyabat.bel.tr" TargetMode="External"/><Relationship Id="rId417" Type="http://schemas.openxmlformats.org/officeDocument/2006/relationships/hyperlink" Target="http://www.ayancik.bel.tr" TargetMode="External"/><Relationship Id="rId659" Type="http://schemas.openxmlformats.org/officeDocument/2006/relationships/hyperlink" Target="http://www.birecik.bel.tr" TargetMode="External"/><Relationship Id="rId416" Type="http://schemas.openxmlformats.org/officeDocument/2006/relationships/hyperlink" Target="http://www.sinop.bel.tr" TargetMode="External"/><Relationship Id="rId658" Type="http://schemas.openxmlformats.org/officeDocument/2006/relationships/hyperlink" Target="http://www.akcakale.bel.tr" TargetMode="External"/><Relationship Id="rId411" Type="http://schemas.openxmlformats.org/officeDocument/2006/relationships/hyperlink" Target="https://www.pinarbasibelediyesi.bel.tr/" TargetMode="External"/><Relationship Id="rId653" Type="http://schemas.openxmlformats.org/officeDocument/2006/relationships/hyperlink" Target="http://www.duragan.bel.tr" TargetMode="External"/><Relationship Id="rId410" Type="http://schemas.openxmlformats.org/officeDocument/2006/relationships/hyperlink" Target="https://kure.bel.tr/" TargetMode="External"/><Relationship Id="rId652" Type="http://schemas.openxmlformats.org/officeDocument/2006/relationships/hyperlink" Target="http://www.dikmen.bel.tr" TargetMode="External"/><Relationship Id="rId651" Type="http://schemas.openxmlformats.org/officeDocument/2006/relationships/hyperlink" Target="http://www.boyabat.bel.tr" TargetMode="External"/><Relationship Id="rId650" Type="http://schemas.openxmlformats.org/officeDocument/2006/relationships/hyperlink" Target="http://www.ayancik.bel.tr" TargetMode="External"/><Relationship Id="rId206" Type="http://schemas.openxmlformats.org/officeDocument/2006/relationships/hyperlink" Target="http://www.tercan.bel.tr" TargetMode="External"/><Relationship Id="rId448" Type="http://schemas.openxmlformats.org/officeDocument/2006/relationships/hyperlink" Target="http://www.darica.bel.tr" TargetMode="External"/><Relationship Id="rId205" Type="http://schemas.openxmlformats.org/officeDocument/2006/relationships/hyperlink" Target="http://www.refahiye.bel.tr" TargetMode="External"/><Relationship Id="rId447" Type="http://schemas.openxmlformats.org/officeDocument/2006/relationships/hyperlink" Target="http://www.cayirova.bel.tr" TargetMode="External"/><Relationship Id="rId689" Type="http://schemas.openxmlformats.org/officeDocument/2006/relationships/hyperlink" Target="https://www.basciftlik.bel.tr" TargetMode="External"/><Relationship Id="rId204" Type="http://schemas.openxmlformats.org/officeDocument/2006/relationships/hyperlink" Target="http://www.otlukbeli.bel.tr" TargetMode="External"/><Relationship Id="rId446" Type="http://schemas.openxmlformats.org/officeDocument/2006/relationships/hyperlink" Target="http://www.basiskele.bel.tr" TargetMode="External"/><Relationship Id="rId688" Type="http://schemas.openxmlformats.org/officeDocument/2006/relationships/hyperlink" Target="https://www.artova.bel.tr" TargetMode="External"/><Relationship Id="rId203" Type="http://schemas.openxmlformats.org/officeDocument/2006/relationships/hyperlink" Target="http://www.kemaliye.bel.tr" TargetMode="External"/><Relationship Id="rId445" Type="http://schemas.openxmlformats.org/officeDocument/2006/relationships/hyperlink" Target="http://www.mucur.bel.tr" TargetMode="External"/><Relationship Id="rId687" Type="http://schemas.openxmlformats.org/officeDocument/2006/relationships/hyperlink" Target="https://almus.bel.tr" TargetMode="External"/><Relationship Id="rId209" Type="http://schemas.openxmlformats.org/officeDocument/2006/relationships/hyperlink" Target="http://www.aziziye.bel.tr" TargetMode="External"/><Relationship Id="rId208" Type="http://schemas.openxmlformats.org/officeDocument/2006/relationships/hyperlink" Target="http://www.askale.bel.tr" TargetMode="External"/><Relationship Id="rId207" Type="http://schemas.openxmlformats.org/officeDocument/2006/relationships/hyperlink" Target="http://www.uzumlu.bel.tr" TargetMode="External"/><Relationship Id="rId449" Type="http://schemas.openxmlformats.org/officeDocument/2006/relationships/hyperlink" Target="http://www.derince.bel.tr" TargetMode="External"/><Relationship Id="rId440" Type="http://schemas.openxmlformats.org/officeDocument/2006/relationships/hyperlink" Target="http://www.kirsehir.bel.tr" TargetMode="External"/><Relationship Id="rId682" Type="http://schemas.openxmlformats.org/officeDocument/2006/relationships/hyperlink" Target="http://marmaraereglisi.bel.tr" TargetMode="External"/><Relationship Id="rId681" Type="http://schemas.openxmlformats.org/officeDocument/2006/relationships/hyperlink" Target="http://malkara.bel.tr" TargetMode="External"/><Relationship Id="rId680" Type="http://schemas.openxmlformats.org/officeDocument/2006/relationships/hyperlink" Target="http://kapakli.bel.tr" TargetMode="External"/><Relationship Id="rId202" Type="http://schemas.openxmlformats.org/officeDocument/2006/relationships/hyperlink" Target="http://www.kemah.bel.tr" TargetMode="External"/><Relationship Id="rId444" Type="http://schemas.openxmlformats.org/officeDocument/2006/relationships/hyperlink" Target="http://www.kaman.bel.tr" TargetMode="External"/><Relationship Id="rId686" Type="http://schemas.openxmlformats.org/officeDocument/2006/relationships/hyperlink" Target="https://tokat.bel.tr" TargetMode="External"/><Relationship Id="rId201" Type="http://schemas.openxmlformats.org/officeDocument/2006/relationships/hyperlink" Target="http://www.ilic.bel.tr" TargetMode="External"/><Relationship Id="rId443" Type="http://schemas.openxmlformats.org/officeDocument/2006/relationships/hyperlink" Target="http://www.cicekdagi.bel.tr" TargetMode="External"/><Relationship Id="rId685" Type="http://schemas.openxmlformats.org/officeDocument/2006/relationships/hyperlink" Target="http://sarkoy.bel.tr" TargetMode="External"/><Relationship Id="rId200" Type="http://schemas.openxmlformats.org/officeDocument/2006/relationships/hyperlink" Target="http://www.cayirli.bel.tr" TargetMode="External"/><Relationship Id="rId442" Type="http://schemas.openxmlformats.org/officeDocument/2006/relationships/hyperlink" Target="http://www.boztepe.bel.tr" TargetMode="External"/><Relationship Id="rId684" Type="http://schemas.openxmlformats.org/officeDocument/2006/relationships/hyperlink" Target="http://saray.bel.tr" TargetMode="External"/><Relationship Id="rId441" Type="http://schemas.openxmlformats.org/officeDocument/2006/relationships/hyperlink" Target="http://www.kirsehirakpinar.bel.tr" TargetMode="External"/><Relationship Id="rId683" Type="http://schemas.openxmlformats.org/officeDocument/2006/relationships/hyperlink" Target="http://muratli.bel.tr" TargetMode="External"/><Relationship Id="rId437" Type="http://schemas.openxmlformats.org/officeDocument/2006/relationships/hyperlink" Target="http://www.pehlivankoy.bel.tr" TargetMode="External"/><Relationship Id="rId679" Type="http://schemas.openxmlformats.org/officeDocument/2006/relationships/hyperlink" Target="http://hayrabolu.bel.tr" TargetMode="External"/><Relationship Id="rId436" Type="http://schemas.openxmlformats.org/officeDocument/2006/relationships/hyperlink" Target="http://www.luleburgaz.bel.tr" TargetMode="External"/><Relationship Id="rId678" Type="http://schemas.openxmlformats.org/officeDocument/2006/relationships/hyperlink" Target="http://ergene.bel.tr" TargetMode="External"/><Relationship Id="rId435" Type="http://schemas.openxmlformats.org/officeDocument/2006/relationships/hyperlink" Target="http://www.kofcaz.bel.tr" TargetMode="External"/><Relationship Id="rId677" Type="http://schemas.openxmlformats.org/officeDocument/2006/relationships/hyperlink" Target="http://corlu.bel.tr" TargetMode="External"/><Relationship Id="rId434" Type="http://schemas.openxmlformats.org/officeDocument/2006/relationships/hyperlink" Target="http://www.demirkoy.bel.tr" TargetMode="External"/><Relationship Id="rId676" Type="http://schemas.openxmlformats.org/officeDocument/2006/relationships/hyperlink" Target="http://cerkezkoy.bel.tr" TargetMode="External"/><Relationship Id="rId439" Type="http://schemas.openxmlformats.org/officeDocument/2006/relationships/hyperlink" Target="http://www.vize.bel.tr" TargetMode="External"/><Relationship Id="rId438" Type="http://schemas.openxmlformats.org/officeDocument/2006/relationships/hyperlink" Target="http://www.pinarhisar.bel.tr" TargetMode="External"/><Relationship Id="rId671" Type="http://schemas.openxmlformats.org/officeDocument/2006/relationships/hyperlink" Target="http://sarkisla.bel.tr" TargetMode="External"/><Relationship Id="rId670" Type="http://schemas.openxmlformats.org/officeDocument/2006/relationships/hyperlink" Target="http://www.susehri.bel.tr" TargetMode="External"/><Relationship Id="rId433" Type="http://schemas.openxmlformats.org/officeDocument/2006/relationships/hyperlink" Target="http://www.babaeski.bel.tr" TargetMode="External"/><Relationship Id="rId675" Type="http://schemas.openxmlformats.org/officeDocument/2006/relationships/hyperlink" Target="http://suleymanpasa.bel.tr" TargetMode="External"/><Relationship Id="rId432" Type="http://schemas.openxmlformats.org/officeDocument/2006/relationships/hyperlink" Target="http://www.kirklareli.bel.tr" TargetMode="External"/><Relationship Id="rId674" Type="http://schemas.openxmlformats.org/officeDocument/2006/relationships/hyperlink" Target="http://www.zara.bel.tr" TargetMode="External"/><Relationship Id="rId431" Type="http://schemas.openxmlformats.org/officeDocument/2006/relationships/hyperlink" Target="https://www.yesilhisar.bel.tr" TargetMode="External"/><Relationship Id="rId673" Type="http://schemas.openxmlformats.org/officeDocument/2006/relationships/hyperlink" Target="http://www.yildizeli.bel.tr" TargetMode="External"/><Relationship Id="rId430" Type="http://schemas.openxmlformats.org/officeDocument/2006/relationships/hyperlink" Target="https://www.yahyali.bel.tr" TargetMode="External"/><Relationship Id="rId672" Type="http://schemas.openxmlformats.org/officeDocument/2006/relationships/hyperlink" Target="http://www.ulas.bel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0"/>
    <col customWidth="1" min="2" max="2" width="11.88"/>
    <col customWidth="1" min="3" max="3" width="18.88"/>
    <col customWidth="1" min="4" max="4" width="67.13"/>
    <col customWidth="1" min="5" max="5" width="12.88"/>
    <col customWidth="1" min="6" max="6" width="22.88"/>
    <col customWidth="1" min="7" max="7" width="23.63"/>
    <col hidden="1" min="8" max="8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>
      <c r="A2" s="3" t="s">
        <v>8</v>
      </c>
      <c r="B2" s="3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">
        <v>14</v>
      </c>
      <c r="H2" s="2">
        <v>1.0</v>
      </c>
    </row>
    <row r="3">
      <c r="A3" s="3" t="s">
        <v>8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4" t="str">
        <f>SCAN(1, MAP(A3:A972, A2:A971, LAMBDA(curr, prev, curr=prev)), LAMBDA(acc, is_same, IF(is_same, acc, acc+1)))</f>
        <v>#ERROR!</v>
      </c>
    </row>
    <row r="4">
      <c r="A4" s="3" t="s">
        <v>8</v>
      </c>
      <c r="B4" s="3" t="s">
        <v>21</v>
      </c>
      <c r="C4" s="3" t="s">
        <v>22</v>
      </c>
      <c r="D4" s="3" t="s">
        <v>23</v>
      </c>
      <c r="E4" s="3" t="s">
        <v>24</v>
      </c>
      <c r="F4" s="3" t="s">
        <v>25</v>
      </c>
      <c r="G4" s="3" t="s">
        <v>26</v>
      </c>
    </row>
    <row r="5">
      <c r="A5" s="3" t="s">
        <v>8</v>
      </c>
      <c r="B5" s="3" t="s">
        <v>27</v>
      </c>
      <c r="C5" s="3" t="s">
        <v>28</v>
      </c>
      <c r="D5" s="3" t="s">
        <v>29</v>
      </c>
      <c r="E5" s="3" t="s">
        <v>30</v>
      </c>
      <c r="F5" s="3" t="s">
        <v>31</v>
      </c>
      <c r="G5" s="3" t="s">
        <v>32</v>
      </c>
    </row>
    <row r="6">
      <c r="A6" s="3" t="s">
        <v>8</v>
      </c>
      <c r="B6" s="3" t="s">
        <v>33</v>
      </c>
      <c r="C6" s="3" t="s">
        <v>34</v>
      </c>
      <c r="D6" s="3" t="s">
        <v>35</v>
      </c>
      <c r="E6" s="3" t="s">
        <v>36</v>
      </c>
      <c r="F6" s="3" t="s">
        <v>37</v>
      </c>
      <c r="G6" s="3" t="s">
        <v>38</v>
      </c>
    </row>
    <row r="7">
      <c r="A7" s="3" t="s">
        <v>8</v>
      </c>
      <c r="B7" s="3" t="s">
        <v>39</v>
      </c>
      <c r="C7" s="3" t="s">
        <v>40</v>
      </c>
      <c r="D7" s="3" t="s">
        <v>41</v>
      </c>
      <c r="E7" s="3" t="s">
        <v>42</v>
      </c>
      <c r="F7" s="3" t="s">
        <v>43</v>
      </c>
      <c r="G7" s="3" t="s">
        <v>44</v>
      </c>
    </row>
    <row r="8">
      <c r="A8" s="3" t="s">
        <v>8</v>
      </c>
      <c r="B8" s="3" t="s">
        <v>45</v>
      </c>
      <c r="C8" s="3" t="s">
        <v>46</v>
      </c>
      <c r="D8" s="3" t="s">
        <v>47</v>
      </c>
      <c r="E8" s="3" t="s">
        <v>48</v>
      </c>
      <c r="F8" s="3" t="s">
        <v>49</v>
      </c>
      <c r="G8" s="3" t="s">
        <v>50</v>
      </c>
    </row>
    <row r="9">
      <c r="A9" s="3" t="s">
        <v>8</v>
      </c>
      <c r="B9" s="3" t="s">
        <v>51</v>
      </c>
      <c r="C9" s="3" t="s">
        <v>52</v>
      </c>
      <c r="D9" s="3" t="s">
        <v>53</v>
      </c>
      <c r="E9" s="3" t="s">
        <v>54</v>
      </c>
      <c r="F9" s="5"/>
      <c r="G9" s="3" t="s">
        <v>55</v>
      </c>
    </row>
    <row r="10">
      <c r="A10" s="3" t="s">
        <v>8</v>
      </c>
      <c r="B10" s="3" t="s">
        <v>56</v>
      </c>
      <c r="C10" s="3" t="s">
        <v>57</v>
      </c>
      <c r="D10" s="3" t="s">
        <v>58</v>
      </c>
      <c r="E10" s="3" t="s">
        <v>59</v>
      </c>
      <c r="F10" s="3" t="s">
        <v>60</v>
      </c>
      <c r="G10" s="3" t="s">
        <v>61</v>
      </c>
    </row>
    <row r="11">
      <c r="A11" s="3" t="s">
        <v>8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66</v>
      </c>
      <c r="G11" s="3" t="s">
        <v>67</v>
      </c>
    </row>
    <row r="12">
      <c r="A12" s="3" t="s">
        <v>8</v>
      </c>
      <c r="B12" s="3" t="s">
        <v>68</v>
      </c>
      <c r="C12" s="3" t="s">
        <v>69</v>
      </c>
      <c r="D12" s="3" t="s">
        <v>70</v>
      </c>
      <c r="E12" s="3" t="s">
        <v>71</v>
      </c>
      <c r="F12" s="3" t="s">
        <v>72</v>
      </c>
      <c r="G12" s="3" t="s">
        <v>73</v>
      </c>
    </row>
    <row r="13">
      <c r="A13" s="3" t="s">
        <v>8</v>
      </c>
      <c r="B13" s="3" t="s">
        <v>74</v>
      </c>
      <c r="C13" s="3" t="s">
        <v>75</v>
      </c>
      <c r="D13" s="3" t="s">
        <v>76</v>
      </c>
      <c r="E13" s="3" t="s">
        <v>77</v>
      </c>
      <c r="F13" s="3" t="s">
        <v>78</v>
      </c>
      <c r="G13" s="3" t="s">
        <v>79</v>
      </c>
    </row>
    <row r="14">
      <c r="A14" s="3" t="s">
        <v>8</v>
      </c>
      <c r="B14" s="3" t="s">
        <v>80</v>
      </c>
      <c r="C14" s="3" t="s">
        <v>81</v>
      </c>
      <c r="D14" s="3" t="s">
        <v>82</v>
      </c>
      <c r="E14" s="3" t="s">
        <v>83</v>
      </c>
      <c r="F14" s="3" t="s">
        <v>84</v>
      </c>
      <c r="G14" s="3" t="s">
        <v>85</v>
      </c>
    </row>
    <row r="15">
      <c r="A15" s="3" t="s">
        <v>8</v>
      </c>
      <c r="B15" s="3" t="s">
        <v>86</v>
      </c>
      <c r="C15" s="3" t="s">
        <v>87</v>
      </c>
      <c r="D15" s="3" t="s">
        <v>88</v>
      </c>
      <c r="E15" s="3" t="s">
        <v>89</v>
      </c>
      <c r="F15" s="3" t="s">
        <v>90</v>
      </c>
      <c r="G15" s="3" t="s">
        <v>91</v>
      </c>
    </row>
    <row r="16">
      <c r="A16" s="3" t="s">
        <v>8</v>
      </c>
      <c r="B16" s="3" t="s">
        <v>92</v>
      </c>
      <c r="C16" s="3" t="s">
        <v>93</v>
      </c>
      <c r="D16" s="3" t="s">
        <v>94</v>
      </c>
      <c r="E16" s="3" t="s">
        <v>95</v>
      </c>
      <c r="F16" s="3" t="s">
        <v>96</v>
      </c>
      <c r="G16" s="3" t="s">
        <v>97</v>
      </c>
    </row>
    <row r="17">
      <c r="A17" s="3" t="s">
        <v>8</v>
      </c>
      <c r="B17" s="3" t="s">
        <v>98</v>
      </c>
      <c r="C17" s="3" t="s">
        <v>99</v>
      </c>
      <c r="D17" s="3" t="s">
        <v>100</v>
      </c>
      <c r="E17" s="3" t="s">
        <v>101</v>
      </c>
      <c r="F17" s="3" t="s">
        <v>102</v>
      </c>
      <c r="G17" s="3" t="s">
        <v>103</v>
      </c>
    </row>
    <row r="18">
      <c r="A18" s="6" t="s">
        <v>104</v>
      </c>
      <c r="B18" s="6" t="s">
        <v>105</v>
      </c>
      <c r="C18" s="6" t="s">
        <v>106</v>
      </c>
      <c r="D18" s="6" t="s">
        <v>107</v>
      </c>
      <c r="E18" s="6" t="s">
        <v>108</v>
      </c>
      <c r="F18" s="6" t="s">
        <v>109</v>
      </c>
      <c r="G18" s="6" t="s">
        <v>110</v>
      </c>
    </row>
    <row r="19">
      <c r="A19" s="6" t="s">
        <v>104</v>
      </c>
      <c r="B19" s="6" t="s">
        <v>111</v>
      </c>
      <c r="C19" s="6" t="s">
        <v>112</v>
      </c>
      <c r="D19" s="6" t="s">
        <v>113</v>
      </c>
      <c r="E19" s="6" t="s">
        <v>114</v>
      </c>
      <c r="F19" s="6" t="s">
        <v>115</v>
      </c>
      <c r="G19" s="6" t="s">
        <v>116</v>
      </c>
    </row>
    <row r="20">
      <c r="A20" s="6" t="s">
        <v>104</v>
      </c>
      <c r="B20" s="6" t="s">
        <v>117</v>
      </c>
      <c r="C20" s="6" t="s">
        <v>118</v>
      </c>
      <c r="D20" s="7" t="s">
        <v>119</v>
      </c>
      <c r="E20" s="6" t="s">
        <v>120</v>
      </c>
      <c r="F20" s="6" t="s">
        <v>121</v>
      </c>
      <c r="G20" s="6" t="s">
        <v>122</v>
      </c>
    </row>
    <row r="21">
      <c r="A21" s="6" t="s">
        <v>104</v>
      </c>
      <c r="B21" s="6" t="s">
        <v>123</v>
      </c>
      <c r="C21" s="6" t="s">
        <v>124</v>
      </c>
      <c r="D21" s="7" t="s">
        <v>125</v>
      </c>
      <c r="E21" s="6" t="s">
        <v>126</v>
      </c>
      <c r="F21" s="6" t="s">
        <v>127</v>
      </c>
      <c r="G21" s="6" t="s">
        <v>128</v>
      </c>
    </row>
    <row r="22">
      <c r="A22" s="6" t="s">
        <v>104</v>
      </c>
      <c r="B22" s="6" t="s">
        <v>129</v>
      </c>
      <c r="C22" s="6" t="s">
        <v>130</v>
      </c>
      <c r="D22" s="6" t="s">
        <v>131</v>
      </c>
      <c r="E22" s="6" t="s">
        <v>132</v>
      </c>
      <c r="F22" s="6" t="s">
        <v>133</v>
      </c>
      <c r="G22" s="6" t="s">
        <v>134</v>
      </c>
    </row>
    <row r="23">
      <c r="A23" s="6" t="s">
        <v>104</v>
      </c>
      <c r="B23" s="6" t="s">
        <v>135</v>
      </c>
      <c r="C23" s="6" t="s">
        <v>136</v>
      </c>
      <c r="D23" s="6" t="s">
        <v>137</v>
      </c>
      <c r="E23" s="6" t="s">
        <v>138</v>
      </c>
      <c r="F23" s="6" t="s">
        <v>139</v>
      </c>
      <c r="G23" s="6" t="s">
        <v>140</v>
      </c>
    </row>
    <row r="24">
      <c r="A24" s="6" t="s">
        <v>104</v>
      </c>
      <c r="B24" s="6" t="s">
        <v>141</v>
      </c>
      <c r="C24" s="6" t="s">
        <v>142</v>
      </c>
      <c r="D24" s="6" t="s">
        <v>143</v>
      </c>
      <c r="E24" s="6" t="s">
        <v>144</v>
      </c>
      <c r="F24" s="6" t="s">
        <v>145</v>
      </c>
      <c r="G24" s="6" t="s">
        <v>146</v>
      </c>
    </row>
    <row r="25">
      <c r="A25" s="6" t="s">
        <v>104</v>
      </c>
      <c r="B25" s="6" t="s">
        <v>147</v>
      </c>
      <c r="C25" s="6" t="s">
        <v>148</v>
      </c>
      <c r="D25" s="7" t="s">
        <v>149</v>
      </c>
      <c r="E25" s="6" t="s">
        <v>150</v>
      </c>
      <c r="F25" s="7" t="s">
        <v>151</v>
      </c>
      <c r="G25" s="6" t="s">
        <v>152</v>
      </c>
    </row>
    <row r="26">
      <c r="A26" s="6" t="s">
        <v>104</v>
      </c>
      <c r="B26" s="6" t="s">
        <v>153</v>
      </c>
      <c r="C26" s="6" t="s">
        <v>154</v>
      </c>
      <c r="D26" s="7" t="s">
        <v>155</v>
      </c>
      <c r="E26" s="6" t="s">
        <v>156</v>
      </c>
      <c r="F26" s="6" t="s">
        <v>157</v>
      </c>
      <c r="G26" s="6" t="s">
        <v>158</v>
      </c>
    </row>
    <row r="27">
      <c r="A27" s="8" t="s">
        <v>159</v>
      </c>
      <c r="B27" s="8" t="s">
        <v>105</v>
      </c>
      <c r="C27" s="8" t="s">
        <v>160</v>
      </c>
      <c r="D27" s="8" t="s">
        <v>161</v>
      </c>
      <c r="E27" s="8" t="s">
        <v>162</v>
      </c>
      <c r="F27" s="8" t="s">
        <v>163</v>
      </c>
      <c r="G27" s="8" t="s">
        <v>164</v>
      </c>
    </row>
    <row r="28">
      <c r="A28" s="8" t="s">
        <v>159</v>
      </c>
      <c r="B28" s="8" t="s">
        <v>165</v>
      </c>
      <c r="C28" s="8" t="s">
        <v>166</v>
      </c>
      <c r="D28" s="8" t="s">
        <v>167</v>
      </c>
      <c r="E28" s="8" t="s">
        <v>168</v>
      </c>
      <c r="F28" s="8" t="s">
        <v>169</v>
      </c>
      <c r="G28" s="8" t="s">
        <v>170</v>
      </c>
    </row>
    <row r="29">
      <c r="A29" s="8" t="s">
        <v>159</v>
      </c>
      <c r="B29" s="8" t="s">
        <v>171</v>
      </c>
      <c r="C29" s="8" t="s">
        <v>172</v>
      </c>
      <c r="D29" s="9" t="s">
        <v>173</v>
      </c>
      <c r="E29" s="9" t="s">
        <v>174</v>
      </c>
      <c r="F29" s="10" t="s">
        <v>175</v>
      </c>
      <c r="G29" s="11" t="s">
        <v>176</v>
      </c>
    </row>
    <row r="30">
      <c r="A30" s="8" t="s">
        <v>159</v>
      </c>
      <c r="B30" s="8" t="s">
        <v>177</v>
      </c>
      <c r="C30" s="8" t="s">
        <v>178</v>
      </c>
      <c r="D30" s="8" t="s">
        <v>179</v>
      </c>
      <c r="E30" s="8" t="s">
        <v>180</v>
      </c>
      <c r="F30" s="8" t="s">
        <v>181</v>
      </c>
      <c r="G30" s="8" t="s">
        <v>182</v>
      </c>
    </row>
    <row r="31">
      <c r="A31" s="8" t="s">
        <v>159</v>
      </c>
      <c r="B31" s="8" t="s">
        <v>183</v>
      </c>
      <c r="C31" s="8" t="s">
        <v>184</v>
      </c>
      <c r="D31" s="8" t="s">
        <v>185</v>
      </c>
      <c r="E31" s="8" t="s">
        <v>186</v>
      </c>
      <c r="F31" s="8" t="s">
        <v>187</v>
      </c>
      <c r="G31" s="12" t="s">
        <v>188</v>
      </c>
    </row>
    <row r="32">
      <c r="A32" s="8" t="s">
        <v>159</v>
      </c>
      <c r="B32" s="8" t="s">
        <v>189</v>
      </c>
      <c r="C32" s="8" t="s">
        <v>190</v>
      </c>
      <c r="D32" s="8" t="s">
        <v>191</v>
      </c>
      <c r="E32" s="8" t="s">
        <v>192</v>
      </c>
      <c r="F32" s="8" t="s">
        <v>193</v>
      </c>
      <c r="G32" s="8" t="s">
        <v>194</v>
      </c>
    </row>
    <row r="33">
      <c r="A33" s="8" t="s">
        <v>159</v>
      </c>
      <c r="B33" s="8" t="s">
        <v>195</v>
      </c>
      <c r="C33" s="8" t="s">
        <v>196</v>
      </c>
      <c r="D33" s="8" t="s">
        <v>197</v>
      </c>
      <c r="E33" s="8" t="s">
        <v>198</v>
      </c>
      <c r="F33" s="8" t="s">
        <v>199</v>
      </c>
      <c r="G33" s="8" t="s">
        <v>200</v>
      </c>
    </row>
    <row r="34">
      <c r="A34" s="8" t="s">
        <v>159</v>
      </c>
      <c r="B34" s="8" t="s">
        <v>201</v>
      </c>
      <c r="C34" s="8" t="s">
        <v>202</v>
      </c>
      <c r="D34" s="8" t="s">
        <v>203</v>
      </c>
      <c r="E34" s="8" t="s">
        <v>204</v>
      </c>
      <c r="F34" s="8" t="s">
        <v>205</v>
      </c>
      <c r="G34" s="8" t="s">
        <v>206</v>
      </c>
    </row>
    <row r="35">
      <c r="A35" s="8" t="s">
        <v>159</v>
      </c>
      <c r="B35" s="8" t="s">
        <v>207</v>
      </c>
      <c r="C35" s="8" t="s">
        <v>208</v>
      </c>
      <c r="D35" s="8" t="s">
        <v>209</v>
      </c>
      <c r="E35" s="8" t="s">
        <v>210</v>
      </c>
      <c r="F35" s="8" t="s">
        <v>211</v>
      </c>
      <c r="G35" s="12" t="s">
        <v>212</v>
      </c>
    </row>
    <row r="36">
      <c r="A36" s="8" t="s">
        <v>159</v>
      </c>
      <c r="B36" s="8" t="s">
        <v>213</v>
      </c>
      <c r="C36" s="8" t="s">
        <v>214</v>
      </c>
      <c r="D36" s="8" t="s">
        <v>215</v>
      </c>
      <c r="E36" s="8" t="s">
        <v>216</v>
      </c>
      <c r="F36" s="8" t="s">
        <v>217</v>
      </c>
      <c r="G36" s="8" t="s">
        <v>218</v>
      </c>
    </row>
    <row r="37">
      <c r="A37" s="8" t="s">
        <v>159</v>
      </c>
      <c r="B37" s="8" t="s">
        <v>219</v>
      </c>
      <c r="C37" s="8" t="s">
        <v>220</v>
      </c>
      <c r="D37" s="9" t="s">
        <v>221</v>
      </c>
      <c r="E37" s="8" t="s">
        <v>222</v>
      </c>
      <c r="F37" s="8" t="s">
        <v>223</v>
      </c>
      <c r="G37" s="12" t="s">
        <v>224</v>
      </c>
    </row>
    <row r="38">
      <c r="A38" s="8" t="s">
        <v>159</v>
      </c>
      <c r="B38" s="8" t="s">
        <v>225</v>
      </c>
      <c r="C38" s="8" t="s">
        <v>226</v>
      </c>
      <c r="D38" s="8" t="s">
        <v>227</v>
      </c>
      <c r="E38" s="8" t="s">
        <v>228</v>
      </c>
      <c r="F38" s="8" t="s">
        <v>229</v>
      </c>
      <c r="G38" s="12" t="s">
        <v>230</v>
      </c>
    </row>
    <row r="39">
      <c r="A39" s="8" t="s">
        <v>159</v>
      </c>
      <c r="B39" s="8" t="s">
        <v>231</v>
      </c>
      <c r="C39" s="8" t="s">
        <v>232</v>
      </c>
      <c r="D39" s="8" t="s">
        <v>233</v>
      </c>
      <c r="E39" s="13" t="s">
        <v>234</v>
      </c>
      <c r="F39" s="8" t="s">
        <v>235</v>
      </c>
      <c r="G39" s="8" t="s">
        <v>236</v>
      </c>
    </row>
    <row r="40">
      <c r="A40" s="8" t="s">
        <v>159</v>
      </c>
      <c r="B40" s="8" t="s">
        <v>237</v>
      </c>
      <c r="C40" s="8" t="s">
        <v>238</v>
      </c>
      <c r="D40" s="8" t="s">
        <v>239</v>
      </c>
      <c r="E40" s="8" t="s">
        <v>240</v>
      </c>
      <c r="F40" s="8" t="s">
        <v>241</v>
      </c>
      <c r="G40" s="12" t="s">
        <v>242</v>
      </c>
    </row>
    <row r="41">
      <c r="A41" s="8" t="s">
        <v>159</v>
      </c>
      <c r="B41" s="8" t="s">
        <v>243</v>
      </c>
      <c r="C41" s="8" t="s">
        <v>244</v>
      </c>
      <c r="D41" s="8" t="s">
        <v>245</v>
      </c>
      <c r="E41" s="8" t="s">
        <v>246</v>
      </c>
      <c r="F41" s="8" t="s">
        <v>247</v>
      </c>
      <c r="G41" s="8" t="s">
        <v>248</v>
      </c>
    </row>
    <row r="42">
      <c r="A42" s="8" t="s">
        <v>159</v>
      </c>
      <c r="B42" s="8" t="s">
        <v>249</v>
      </c>
      <c r="C42" s="8" t="s">
        <v>250</v>
      </c>
      <c r="D42" s="8" t="s">
        <v>251</v>
      </c>
      <c r="E42" s="8" t="s">
        <v>252</v>
      </c>
      <c r="F42" s="8" t="s">
        <v>253</v>
      </c>
      <c r="G42" s="12" t="s">
        <v>254</v>
      </c>
    </row>
    <row r="43">
      <c r="A43" s="8" t="s">
        <v>159</v>
      </c>
      <c r="B43" s="8" t="s">
        <v>255</v>
      </c>
      <c r="C43" s="8" t="s">
        <v>256</v>
      </c>
      <c r="D43" s="8" t="s">
        <v>257</v>
      </c>
      <c r="E43" s="8" t="s">
        <v>258</v>
      </c>
      <c r="F43" s="8" t="s">
        <v>259</v>
      </c>
      <c r="G43" s="8" t="s">
        <v>260</v>
      </c>
    </row>
    <row r="44">
      <c r="A44" s="8" t="s">
        <v>159</v>
      </c>
      <c r="B44" s="8" t="s">
        <v>261</v>
      </c>
      <c r="C44" s="8" t="s">
        <v>262</v>
      </c>
      <c r="D44" s="8" t="s">
        <v>263</v>
      </c>
      <c r="E44" s="8" t="s">
        <v>264</v>
      </c>
      <c r="F44" s="8" t="s">
        <v>265</v>
      </c>
      <c r="G44" s="8" t="s">
        <v>266</v>
      </c>
    </row>
    <row r="45">
      <c r="A45" s="2" t="s">
        <v>267</v>
      </c>
      <c r="B45" s="2" t="s">
        <v>105</v>
      </c>
      <c r="C45" s="2" t="s">
        <v>268</v>
      </c>
      <c r="D45" s="2" t="s">
        <v>269</v>
      </c>
      <c r="E45" s="2" t="s">
        <v>270</v>
      </c>
      <c r="F45" s="2" t="s">
        <v>271</v>
      </c>
      <c r="G45" s="14" t="s">
        <v>272</v>
      </c>
    </row>
    <row r="46">
      <c r="A46" s="2" t="s">
        <v>267</v>
      </c>
      <c r="B46" s="2" t="s">
        <v>273</v>
      </c>
      <c r="C46" s="2" t="s">
        <v>274</v>
      </c>
      <c r="D46" s="2" t="s">
        <v>275</v>
      </c>
      <c r="E46" s="2" t="s">
        <v>276</v>
      </c>
      <c r="F46" s="2" t="s">
        <v>277</v>
      </c>
      <c r="G46" s="14" t="s">
        <v>278</v>
      </c>
    </row>
    <row r="47">
      <c r="A47" s="2" t="s">
        <v>267</v>
      </c>
      <c r="B47" s="2" t="s">
        <v>279</v>
      </c>
      <c r="C47" s="2" t="s">
        <v>280</v>
      </c>
      <c r="D47" s="2" t="s">
        <v>281</v>
      </c>
      <c r="E47" s="2" t="s">
        <v>282</v>
      </c>
      <c r="F47" s="2" t="s">
        <v>283</v>
      </c>
      <c r="G47" s="14" t="s">
        <v>284</v>
      </c>
    </row>
    <row r="48">
      <c r="A48" s="2" t="s">
        <v>267</v>
      </c>
      <c r="B48" s="2" t="s">
        <v>285</v>
      </c>
      <c r="C48" s="2" t="s">
        <v>286</v>
      </c>
      <c r="D48" s="2" t="s">
        <v>287</v>
      </c>
      <c r="E48" s="2" t="s">
        <v>288</v>
      </c>
      <c r="F48" s="2" t="s">
        <v>289</v>
      </c>
      <c r="G48" s="15" t="s">
        <v>290</v>
      </c>
    </row>
    <row r="49">
      <c r="A49" s="2" t="s">
        <v>267</v>
      </c>
      <c r="B49" s="2" t="s">
        <v>291</v>
      </c>
      <c r="C49" s="2" t="s">
        <v>292</v>
      </c>
      <c r="D49" s="2" t="s">
        <v>293</v>
      </c>
      <c r="E49" s="2" t="s">
        <v>294</v>
      </c>
      <c r="F49" s="2" t="s">
        <v>295</v>
      </c>
      <c r="G49" s="14" t="s">
        <v>296</v>
      </c>
    </row>
    <row r="50">
      <c r="A50" s="2" t="s">
        <v>267</v>
      </c>
      <c r="B50" s="2" t="s">
        <v>297</v>
      </c>
      <c r="C50" s="2" t="s">
        <v>298</v>
      </c>
      <c r="D50" s="2" t="s">
        <v>299</v>
      </c>
      <c r="E50" s="2" t="s">
        <v>300</v>
      </c>
      <c r="G50" s="14" t="s">
        <v>301</v>
      </c>
    </row>
    <row r="51">
      <c r="A51" s="2" t="s">
        <v>267</v>
      </c>
      <c r="B51" s="2" t="s">
        <v>302</v>
      </c>
      <c r="C51" s="2" t="s">
        <v>303</v>
      </c>
      <c r="D51" s="2" t="s">
        <v>304</v>
      </c>
      <c r="E51" s="2" t="s">
        <v>305</v>
      </c>
      <c r="F51" s="2" t="s">
        <v>306</v>
      </c>
      <c r="G51" s="14" t="s">
        <v>307</v>
      </c>
    </row>
    <row r="52">
      <c r="A52" s="2" t="s">
        <v>267</v>
      </c>
      <c r="B52" s="2" t="s">
        <v>308</v>
      </c>
      <c r="C52" s="2" t="s">
        <v>309</v>
      </c>
      <c r="D52" s="2" t="s">
        <v>310</v>
      </c>
      <c r="E52" s="2" t="s">
        <v>311</v>
      </c>
      <c r="F52" s="2" t="s">
        <v>312</v>
      </c>
      <c r="G52" s="14" t="s">
        <v>313</v>
      </c>
    </row>
    <row r="53">
      <c r="A53" s="8" t="s">
        <v>314</v>
      </c>
      <c r="B53" s="8" t="s">
        <v>105</v>
      </c>
      <c r="C53" s="8" t="s">
        <v>315</v>
      </c>
      <c r="D53" s="8" t="s">
        <v>316</v>
      </c>
      <c r="E53" s="8" t="s">
        <v>317</v>
      </c>
      <c r="F53" s="8" t="s">
        <v>318</v>
      </c>
      <c r="G53" s="8" t="s">
        <v>319</v>
      </c>
    </row>
    <row r="54">
      <c r="A54" s="8" t="s">
        <v>314</v>
      </c>
      <c r="B54" s="8" t="s">
        <v>320</v>
      </c>
      <c r="C54" s="8" t="s">
        <v>321</v>
      </c>
      <c r="D54" s="8" t="s">
        <v>322</v>
      </c>
      <c r="E54" s="8" t="s">
        <v>323</v>
      </c>
      <c r="F54" s="8" t="s">
        <v>324</v>
      </c>
      <c r="G54" s="12" t="s">
        <v>325</v>
      </c>
    </row>
    <row r="55">
      <c r="A55" s="8" t="s">
        <v>314</v>
      </c>
      <c r="B55" s="8" t="s">
        <v>326</v>
      </c>
      <c r="C55" s="8" t="s">
        <v>327</v>
      </c>
      <c r="D55" s="8" t="s">
        <v>328</v>
      </c>
      <c r="E55" s="8" t="s">
        <v>329</v>
      </c>
      <c r="F55" s="8" t="s">
        <v>330</v>
      </c>
      <c r="G55" s="8" t="s">
        <v>331</v>
      </c>
    </row>
    <row r="56">
      <c r="A56" s="8" t="s">
        <v>314</v>
      </c>
      <c r="B56" s="8" t="s">
        <v>332</v>
      </c>
      <c r="C56" s="8" t="s">
        <v>333</v>
      </c>
      <c r="D56" s="8" t="s">
        <v>334</v>
      </c>
      <c r="E56" s="8" t="s">
        <v>335</v>
      </c>
      <c r="F56" s="8" t="s">
        <v>336</v>
      </c>
      <c r="G56" s="12" t="s">
        <v>337</v>
      </c>
    </row>
    <row r="57">
      <c r="A57" s="8" t="s">
        <v>314</v>
      </c>
      <c r="B57" s="8" t="s">
        <v>338</v>
      </c>
      <c r="C57" s="8" t="s">
        <v>339</v>
      </c>
      <c r="D57" s="8" t="s">
        <v>340</v>
      </c>
      <c r="E57" s="8" t="s">
        <v>341</v>
      </c>
      <c r="F57" s="8" t="s">
        <v>342</v>
      </c>
      <c r="G57" s="8" t="s">
        <v>343</v>
      </c>
    </row>
    <row r="58">
      <c r="A58" s="8" t="s">
        <v>314</v>
      </c>
      <c r="B58" s="8" t="s">
        <v>344</v>
      </c>
      <c r="C58" s="8" t="s">
        <v>345</v>
      </c>
      <c r="D58" s="8" t="s">
        <v>346</v>
      </c>
      <c r="E58" s="8" t="s">
        <v>347</v>
      </c>
      <c r="F58" s="8" t="s">
        <v>348</v>
      </c>
      <c r="G58" s="8" t="s">
        <v>349</v>
      </c>
    </row>
    <row r="59">
      <c r="A59" s="8" t="s">
        <v>314</v>
      </c>
      <c r="B59" s="8" t="s">
        <v>350</v>
      </c>
      <c r="C59" s="8" t="s">
        <v>351</v>
      </c>
      <c r="D59" s="8" t="s">
        <v>352</v>
      </c>
      <c r="E59" s="8" t="s">
        <v>353</v>
      </c>
      <c r="F59" s="8" t="s">
        <v>354</v>
      </c>
      <c r="G59" s="8" t="s">
        <v>355</v>
      </c>
    </row>
    <row r="60">
      <c r="A60" s="8" t="s">
        <v>356</v>
      </c>
      <c r="B60" s="8" t="s">
        <v>357</v>
      </c>
      <c r="C60" s="8" t="s">
        <v>358</v>
      </c>
      <c r="D60" s="8" t="s">
        <v>359</v>
      </c>
      <c r="E60" s="8" t="s">
        <v>360</v>
      </c>
      <c r="F60" s="8" t="s">
        <v>361</v>
      </c>
      <c r="G60" s="8" t="s">
        <v>362</v>
      </c>
    </row>
    <row r="61">
      <c r="A61" s="8" t="s">
        <v>356</v>
      </c>
      <c r="B61" s="8" t="s">
        <v>363</v>
      </c>
      <c r="C61" s="8" t="s">
        <v>364</v>
      </c>
      <c r="D61" s="8" t="s">
        <v>365</v>
      </c>
      <c r="E61" s="8" t="s">
        <v>366</v>
      </c>
      <c r="F61" s="8" t="s">
        <v>367</v>
      </c>
      <c r="G61" s="8" t="s">
        <v>368</v>
      </c>
    </row>
    <row r="62">
      <c r="A62" s="8" t="s">
        <v>356</v>
      </c>
      <c r="B62" s="8" t="s">
        <v>369</v>
      </c>
      <c r="C62" s="8" t="s">
        <v>370</v>
      </c>
      <c r="D62" s="8" t="s">
        <v>371</v>
      </c>
      <c r="E62" s="8" t="s">
        <v>372</v>
      </c>
      <c r="F62" s="8" t="s">
        <v>373</v>
      </c>
      <c r="G62" s="8" t="s">
        <v>374</v>
      </c>
    </row>
    <row r="63">
      <c r="A63" s="8" t="s">
        <v>356</v>
      </c>
      <c r="B63" s="8" t="s">
        <v>375</v>
      </c>
      <c r="C63" s="8" t="s">
        <v>376</v>
      </c>
      <c r="D63" s="8" t="s">
        <v>377</v>
      </c>
      <c r="E63" s="8" t="s">
        <v>378</v>
      </c>
      <c r="F63" s="8" t="s">
        <v>379</v>
      </c>
      <c r="G63" s="8" t="s">
        <v>380</v>
      </c>
    </row>
    <row r="64">
      <c r="A64" s="8" t="s">
        <v>356</v>
      </c>
      <c r="B64" s="8" t="s">
        <v>381</v>
      </c>
      <c r="C64" s="8" t="s">
        <v>382</v>
      </c>
      <c r="D64" s="8" t="s">
        <v>383</v>
      </c>
      <c r="E64" s="8" t="s">
        <v>384</v>
      </c>
      <c r="F64" s="8" t="s">
        <v>385</v>
      </c>
      <c r="G64" s="8" t="s">
        <v>386</v>
      </c>
    </row>
    <row r="65">
      <c r="A65" s="8" t="s">
        <v>356</v>
      </c>
      <c r="B65" s="8" t="s">
        <v>387</v>
      </c>
      <c r="C65" s="8" t="s">
        <v>388</v>
      </c>
      <c r="D65" s="8" t="s">
        <v>389</v>
      </c>
      <c r="E65" s="8" t="s">
        <v>390</v>
      </c>
      <c r="F65" s="8" t="s">
        <v>391</v>
      </c>
      <c r="G65" s="8" t="s">
        <v>392</v>
      </c>
    </row>
    <row r="66">
      <c r="A66" s="8" t="s">
        <v>356</v>
      </c>
      <c r="B66" s="8" t="s">
        <v>393</v>
      </c>
      <c r="C66" s="8" t="s">
        <v>394</v>
      </c>
      <c r="D66" s="8" t="s">
        <v>395</v>
      </c>
      <c r="E66" s="8" t="s">
        <v>396</v>
      </c>
      <c r="F66" s="8" t="s">
        <v>397</v>
      </c>
      <c r="G66" s="8" t="s">
        <v>398</v>
      </c>
    </row>
    <row r="67">
      <c r="A67" s="8" t="s">
        <v>356</v>
      </c>
      <c r="B67" s="8" t="s">
        <v>399</v>
      </c>
      <c r="C67" s="8" t="s">
        <v>400</v>
      </c>
      <c r="D67" s="8" t="s">
        <v>401</v>
      </c>
      <c r="E67" s="8" t="s">
        <v>402</v>
      </c>
      <c r="F67" s="8" t="s">
        <v>403</v>
      </c>
      <c r="G67" s="8" t="s">
        <v>404</v>
      </c>
    </row>
    <row r="68">
      <c r="A68" s="8" t="s">
        <v>356</v>
      </c>
      <c r="B68" s="8" t="s">
        <v>405</v>
      </c>
      <c r="C68" s="8" t="s">
        <v>406</v>
      </c>
      <c r="D68" s="8" t="s">
        <v>407</v>
      </c>
      <c r="E68" s="8" t="s">
        <v>408</v>
      </c>
      <c r="F68" s="8" t="s">
        <v>409</v>
      </c>
      <c r="G68" s="8" t="s">
        <v>410</v>
      </c>
    </row>
    <row r="69">
      <c r="A69" s="8" t="s">
        <v>356</v>
      </c>
      <c r="B69" s="8" t="s">
        <v>411</v>
      </c>
      <c r="C69" s="8" t="s">
        <v>412</v>
      </c>
      <c r="D69" s="8" t="s">
        <v>413</v>
      </c>
      <c r="E69" s="8" t="s">
        <v>414</v>
      </c>
      <c r="F69" s="16" t="s">
        <v>415</v>
      </c>
      <c r="G69" s="8" t="s">
        <v>416</v>
      </c>
    </row>
    <row r="70">
      <c r="A70" s="8" t="s">
        <v>356</v>
      </c>
      <c r="B70" s="8" t="s">
        <v>417</v>
      </c>
      <c r="C70" s="8" t="s">
        <v>418</v>
      </c>
      <c r="D70" s="8" t="s">
        <v>419</v>
      </c>
      <c r="E70" s="8" t="s">
        <v>420</v>
      </c>
      <c r="F70" s="8" t="s">
        <v>421</v>
      </c>
      <c r="G70" s="8" t="s">
        <v>422</v>
      </c>
    </row>
    <row r="71">
      <c r="A71" s="8" t="s">
        <v>356</v>
      </c>
      <c r="B71" s="8" t="s">
        <v>129</v>
      </c>
      <c r="C71" s="8" t="s">
        <v>423</v>
      </c>
      <c r="D71" s="8" t="s">
        <v>424</v>
      </c>
      <c r="E71" s="8" t="s">
        <v>425</v>
      </c>
      <c r="F71" s="8" t="s">
        <v>426</v>
      </c>
      <c r="G71" s="8" t="s">
        <v>427</v>
      </c>
    </row>
    <row r="72">
      <c r="A72" s="8" t="s">
        <v>356</v>
      </c>
      <c r="B72" s="8" t="s">
        <v>428</v>
      </c>
      <c r="C72" s="8" t="s">
        <v>429</v>
      </c>
      <c r="D72" s="8" t="s">
        <v>430</v>
      </c>
      <c r="E72" s="8" t="s">
        <v>431</v>
      </c>
      <c r="F72" s="8" t="s">
        <v>432</v>
      </c>
      <c r="G72" s="8" t="s">
        <v>433</v>
      </c>
    </row>
    <row r="73">
      <c r="A73" s="8" t="s">
        <v>356</v>
      </c>
      <c r="B73" s="8" t="s">
        <v>434</v>
      </c>
      <c r="C73" s="8" t="s">
        <v>435</v>
      </c>
      <c r="D73" s="8" t="s">
        <v>436</v>
      </c>
      <c r="E73" s="8" t="s">
        <v>437</v>
      </c>
      <c r="F73" s="8" t="s">
        <v>438</v>
      </c>
      <c r="G73" s="8" t="s">
        <v>439</v>
      </c>
    </row>
    <row r="74">
      <c r="A74" s="8" t="s">
        <v>356</v>
      </c>
      <c r="B74" s="8" t="s">
        <v>440</v>
      </c>
      <c r="C74" s="8" t="s">
        <v>441</v>
      </c>
      <c r="D74" s="8" t="s">
        <v>442</v>
      </c>
      <c r="E74" s="8" t="s">
        <v>443</v>
      </c>
      <c r="F74" s="8" t="s">
        <v>444</v>
      </c>
      <c r="G74" s="8" t="s">
        <v>445</v>
      </c>
    </row>
    <row r="75">
      <c r="A75" s="8" t="s">
        <v>356</v>
      </c>
      <c r="B75" s="8" t="s">
        <v>446</v>
      </c>
      <c r="C75" s="8" t="s">
        <v>447</v>
      </c>
      <c r="D75" s="8" t="s">
        <v>448</v>
      </c>
      <c r="E75" s="8" t="s">
        <v>449</v>
      </c>
      <c r="F75" s="8" t="s">
        <v>450</v>
      </c>
      <c r="G75" s="8" t="s">
        <v>451</v>
      </c>
    </row>
    <row r="76">
      <c r="A76" s="8" t="s">
        <v>356</v>
      </c>
      <c r="B76" s="8" t="s">
        <v>452</v>
      </c>
      <c r="C76" s="8" t="s">
        <v>453</v>
      </c>
      <c r="D76" s="8" t="s">
        <v>454</v>
      </c>
      <c r="E76" s="8" t="s">
        <v>455</v>
      </c>
      <c r="F76" s="8" t="s">
        <v>456</v>
      </c>
      <c r="G76" s="8" t="s">
        <v>457</v>
      </c>
    </row>
    <row r="77">
      <c r="A77" s="8" t="s">
        <v>356</v>
      </c>
      <c r="B77" s="8" t="s">
        <v>458</v>
      </c>
      <c r="C77" s="8" t="s">
        <v>459</v>
      </c>
      <c r="D77" s="8" t="s">
        <v>460</v>
      </c>
      <c r="E77" s="8" t="s">
        <v>461</v>
      </c>
      <c r="F77" s="8" t="s">
        <v>462</v>
      </c>
      <c r="G77" s="8" t="s">
        <v>463</v>
      </c>
    </row>
    <row r="78">
      <c r="A78" s="8" t="s">
        <v>356</v>
      </c>
      <c r="B78" s="8" t="s">
        <v>464</v>
      </c>
      <c r="C78" s="8" t="s">
        <v>465</v>
      </c>
      <c r="D78" s="8" t="s">
        <v>466</v>
      </c>
      <c r="E78" s="8" t="s">
        <v>467</v>
      </c>
      <c r="F78" s="8" t="s">
        <v>468</v>
      </c>
      <c r="G78" s="8" t="s">
        <v>469</v>
      </c>
    </row>
    <row r="79">
      <c r="A79" s="8" t="s">
        <v>356</v>
      </c>
      <c r="B79" s="8" t="s">
        <v>470</v>
      </c>
      <c r="C79" s="8" t="s">
        <v>471</v>
      </c>
      <c r="D79" s="8" t="s">
        <v>472</v>
      </c>
      <c r="E79" s="8" t="s">
        <v>473</v>
      </c>
      <c r="F79" s="8" t="s">
        <v>474</v>
      </c>
      <c r="G79" s="8" t="s">
        <v>475</v>
      </c>
    </row>
    <row r="80">
      <c r="A80" s="8" t="s">
        <v>356</v>
      </c>
      <c r="B80" s="8" t="s">
        <v>476</v>
      </c>
      <c r="C80" s="8" t="s">
        <v>477</v>
      </c>
      <c r="D80" s="8" t="s">
        <v>478</v>
      </c>
      <c r="E80" s="8" t="s">
        <v>479</v>
      </c>
      <c r="F80" s="8" t="s">
        <v>480</v>
      </c>
      <c r="G80" s="8" t="s">
        <v>481</v>
      </c>
    </row>
    <row r="81">
      <c r="A81" s="8" t="s">
        <v>356</v>
      </c>
      <c r="B81" s="8" t="s">
        <v>482</v>
      </c>
      <c r="C81" s="8" t="s">
        <v>483</v>
      </c>
      <c r="D81" s="8" t="s">
        <v>484</v>
      </c>
      <c r="E81" s="8" t="s">
        <v>485</v>
      </c>
      <c r="F81" s="10" t="s">
        <v>175</v>
      </c>
      <c r="G81" s="8" t="s">
        <v>486</v>
      </c>
    </row>
    <row r="82">
      <c r="A82" s="8" t="s">
        <v>356</v>
      </c>
      <c r="B82" s="8" t="s">
        <v>487</v>
      </c>
      <c r="C82" s="8" t="s">
        <v>488</v>
      </c>
      <c r="D82" s="8" t="s">
        <v>489</v>
      </c>
      <c r="E82" s="8" t="s">
        <v>490</v>
      </c>
      <c r="F82" s="8" t="s">
        <v>491</v>
      </c>
      <c r="G82" s="8" t="s">
        <v>492</v>
      </c>
    </row>
    <row r="83">
      <c r="A83" s="8" t="s">
        <v>356</v>
      </c>
      <c r="B83" s="8" t="s">
        <v>493</v>
      </c>
      <c r="C83" s="8" t="s">
        <v>494</v>
      </c>
      <c r="D83" s="8" t="s">
        <v>495</v>
      </c>
      <c r="E83" s="8" t="s">
        <v>496</v>
      </c>
      <c r="F83" s="8" t="s">
        <v>497</v>
      </c>
      <c r="G83" s="8" t="s">
        <v>498</v>
      </c>
    </row>
    <row r="84">
      <c r="A84" s="8" t="s">
        <v>356</v>
      </c>
      <c r="B84" s="8" t="s">
        <v>499</v>
      </c>
      <c r="C84" s="8" t="s">
        <v>500</v>
      </c>
      <c r="D84" s="8" t="s">
        <v>501</v>
      </c>
      <c r="E84" s="8" t="s">
        <v>502</v>
      </c>
      <c r="F84" s="8" t="s">
        <v>503</v>
      </c>
      <c r="G84" s="8" t="s">
        <v>504</v>
      </c>
    </row>
    <row r="85">
      <c r="A85" s="8" t="s">
        <v>505</v>
      </c>
      <c r="B85" s="8" t="s">
        <v>506</v>
      </c>
      <c r="C85" s="8" t="s">
        <v>507</v>
      </c>
      <c r="D85" s="8" t="s">
        <v>508</v>
      </c>
      <c r="E85" s="8" t="s">
        <v>509</v>
      </c>
      <c r="F85" s="8" t="s">
        <v>510</v>
      </c>
      <c r="G85" s="8" t="s">
        <v>511</v>
      </c>
    </row>
    <row r="86">
      <c r="A86" s="8" t="s">
        <v>505</v>
      </c>
      <c r="B86" s="8" t="s">
        <v>512</v>
      </c>
      <c r="C86" s="8" t="s">
        <v>513</v>
      </c>
      <c r="D86" s="8" t="s">
        <v>514</v>
      </c>
      <c r="E86" s="8" t="s">
        <v>515</v>
      </c>
      <c r="F86" s="8" t="s">
        <v>516</v>
      </c>
      <c r="G86" s="8" t="s">
        <v>517</v>
      </c>
    </row>
    <row r="87">
      <c r="A87" s="8" t="s">
        <v>505</v>
      </c>
      <c r="B87" s="8" t="s">
        <v>518</v>
      </c>
      <c r="C87" s="8" t="s">
        <v>519</v>
      </c>
      <c r="D87" s="9" t="s">
        <v>520</v>
      </c>
      <c r="E87" s="8" t="s">
        <v>521</v>
      </c>
      <c r="F87" s="16" t="s">
        <v>522</v>
      </c>
      <c r="G87" s="12" t="s">
        <v>523</v>
      </c>
    </row>
    <row r="88">
      <c r="A88" s="8" t="s">
        <v>505</v>
      </c>
      <c r="B88" s="8" t="s">
        <v>524</v>
      </c>
      <c r="C88" s="8" t="s">
        <v>525</v>
      </c>
      <c r="D88" s="8" t="s">
        <v>526</v>
      </c>
      <c r="E88" s="8" t="s">
        <v>527</v>
      </c>
      <c r="F88" s="8" t="s">
        <v>528</v>
      </c>
      <c r="G88" s="12" t="s">
        <v>529</v>
      </c>
    </row>
    <row r="89">
      <c r="A89" s="8" t="s">
        <v>505</v>
      </c>
      <c r="B89" s="8" t="s">
        <v>530</v>
      </c>
      <c r="C89" s="8" t="s">
        <v>531</v>
      </c>
      <c r="D89" s="8" t="s">
        <v>532</v>
      </c>
      <c r="E89" s="8" t="s">
        <v>533</v>
      </c>
      <c r="F89" s="8" t="s">
        <v>534</v>
      </c>
      <c r="G89" s="8" t="s">
        <v>535</v>
      </c>
    </row>
    <row r="90">
      <c r="A90" s="8" t="s">
        <v>505</v>
      </c>
      <c r="B90" s="8" t="s">
        <v>536</v>
      </c>
      <c r="C90" s="8" t="s">
        <v>537</v>
      </c>
      <c r="D90" s="8" t="s">
        <v>538</v>
      </c>
      <c r="E90" s="17" t="s">
        <v>539</v>
      </c>
      <c r="F90" s="8" t="s">
        <v>540</v>
      </c>
      <c r="G90" s="8" t="s">
        <v>541</v>
      </c>
    </row>
    <row r="91">
      <c r="A91" s="8" t="s">
        <v>505</v>
      </c>
      <c r="B91" s="8" t="s">
        <v>542</v>
      </c>
      <c r="C91" s="8" t="s">
        <v>543</v>
      </c>
      <c r="D91" s="8" t="s">
        <v>544</v>
      </c>
      <c r="E91" s="8" t="s">
        <v>545</v>
      </c>
      <c r="F91" s="8" t="s">
        <v>546</v>
      </c>
      <c r="G91" s="8" t="s">
        <v>547</v>
      </c>
    </row>
    <row r="92">
      <c r="A92" s="8" t="s">
        <v>505</v>
      </c>
      <c r="B92" s="8" t="s">
        <v>548</v>
      </c>
      <c r="C92" s="8" t="s">
        <v>549</v>
      </c>
      <c r="D92" s="8" t="s">
        <v>550</v>
      </c>
      <c r="E92" s="8" t="s">
        <v>551</v>
      </c>
      <c r="F92" s="8" t="s">
        <v>552</v>
      </c>
      <c r="G92" s="8" t="s">
        <v>553</v>
      </c>
    </row>
    <row r="93">
      <c r="A93" s="8" t="s">
        <v>505</v>
      </c>
      <c r="B93" s="8" t="s">
        <v>554</v>
      </c>
      <c r="C93" s="8" t="s">
        <v>555</v>
      </c>
      <c r="D93" s="8" t="s">
        <v>556</v>
      </c>
      <c r="E93" s="8" t="s">
        <v>557</v>
      </c>
      <c r="F93" s="8" t="s">
        <v>558</v>
      </c>
      <c r="G93" s="8" t="s">
        <v>559</v>
      </c>
    </row>
    <row r="94">
      <c r="A94" s="8" t="s">
        <v>505</v>
      </c>
      <c r="B94" s="8" t="s">
        <v>560</v>
      </c>
      <c r="C94" s="8" t="s">
        <v>561</v>
      </c>
      <c r="D94" s="8" t="s">
        <v>562</v>
      </c>
      <c r="E94" s="8" t="s">
        <v>563</v>
      </c>
      <c r="F94" s="8" t="s">
        <v>564</v>
      </c>
      <c r="G94" s="8" t="s">
        <v>565</v>
      </c>
    </row>
    <row r="95">
      <c r="A95" s="8" t="s">
        <v>505</v>
      </c>
      <c r="B95" s="8" t="s">
        <v>566</v>
      </c>
      <c r="C95" s="8" t="s">
        <v>567</v>
      </c>
      <c r="D95" s="8" t="s">
        <v>568</v>
      </c>
      <c r="E95" s="8" t="s">
        <v>569</v>
      </c>
      <c r="F95" s="8" t="s">
        <v>570</v>
      </c>
      <c r="G95" s="8" t="s">
        <v>571</v>
      </c>
    </row>
    <row r="96">
      <c r="A96" s="8" t="s">
        <v>505</v>
      </c>
      <c r="B96" s="8" t="s">
        <v>572</v>
      </c>
      <c r="C96" s="8" t="s">
        <v>573</v>
      </c>
      <c r="D96" s="8" t="s">
        <v>574</v>
      </c>
      <c r="E96" s="8" t="s">
        <v>575</v>
      </c>
      <c r="F96" s="8" t="s">
        <v>576</v>
      </c>
      <c r="G96" s="8" t="s">
        <v>577</v>
      </c>
    </row>
    <row r="97">
      <c r="A97" s="8" t="s">
        <v>505</v>
      </c>
      <c r="B97" s="8" t="s">
        <v>578</v>
      </c>
      <c r="C97" s="8" t="s">
        <v>579</v>
      </c>
      <c r="D97" s="8" t="s">
        <v>580</v>
      </c>
      <c r="E97" s="8" t="s">
        <v>581</v>
      </c>
      <c r="F97" s="8" t="s">
        <v>582</v>
      </c>
      <c r="G97" s="8" t="s">
        <v>583</v>
      </c>
    </row>
    <row r="98">
      <c r="A98" s="8" t="s">
        <v>505</v>
      </c>
      <c r="B98" s="8" t="s">
        <v>584</v>
      </c>
      <c r="C98" s="8" t="s">
        <v>585</v>
      </c>
      <c r="D98" s="8" t="s">
        <v>586</v>
      </c>
      <c r="E98" s="8" t="s">
        <v>587</v>
      </c>
      <c r="F98" s="8" t="s">
        <v>588</v>
      </c>
      <c r="G98" s="8" t="s">
        <v>589</v>
      </c>
    </row>
    <row r="99">
      <c r="A99" s="8" t="s">
        <v>505</v>
      </c>
      <c r="B99" s="8" t="s">
        <v>590</v>
      </c>
      <c r="C99" s="8" t="s">
        <v>591</v>
      </c>
      <c r="D99" s="8" t="s">
        <v>592</v>
      </c>
      <c r="E99" s="8" t="s">
        <v>593</v>
      </c>
      <c r="F99" s="8" t="s">
        <v>594</v>
      </c>
      <c r="G99" s="8" t="s">
        <v>595</v>
      </c>
    </row>
    <row r="100">
      <c r="A100" s="8" t="s">
        <v>505</v>
      </c>
      <c r="B100" s="8" t="s">
        <v>596</v>
      </c>
      <c r="C100" s="8" t="s">
        <v>597</v>
      </c>
      <c r="D100" s="8" t="s">
        <v>598</v>
      </c>
      <c r="E100" s="8" t="s">
        <v>599</v>
      </c>
      <c r="F100" s="8" t="s">
        <v>600</v>
      </c>
      <c r="G100" s="8" t="s">
        <v>601</v>
      </c>
    </row>
    <row r="101">
      <c r="A101" s="8" t="s">
        <v>505</v>
      </c>
      <c r="B101" s="8" t="s">
        <v>602</v>
      </c>
      <c r="C101" s="8" t="s">
        <v>603</v>
      </c>
      <c r="D101" s="8" t="s">
        <v>604</v>
      </c>
      <c r="E101" s="8" t="s">
        <v>605</v>
      </c>
      <c r="F101" s="8" t="s">
        <v>606</v>
      </c>
      <c r="G101" s="8" t="s">
        <v>607</v>
      </c>
    </row>
    <row r="102">
      <c r="A102" s="8" t="s">
        <v>505</v>
      </c>
      <c r="B102" s="8" t="s">
        <v>608</v>
      </c>
      <c r="C102" s="8" t="s">
        <v>609</v>
      </c>
      <c r="D102" s="8" t="s">
        <v>610</v>
      </c>
      <c r="E102" s="8" t="s">
        <v>611</v>
      </c>
      <c r="F102" s="8" t="s">
        <v>612</v>
      </c>
      <c r="G102" s="8" t="s">
        <v>613</v>
      </c>
    </row>
    <row r="103">
      <c r="A103" s="8" t="s">
        <v>505</v>
      </c>
      <c r="B103" s="8" t="s">
        <v>614</v>
      </c>
      <c r="C103" s="8" t="s">
        <v>615</v>
      </c>
      <c r="D103" s="8" t="s">
        <v>616</v>
      </c>
      <c r="E103" s="8" t="s">
        <v>617</v>
      </c>
      <c r="F103" s="8" t="s">
        <v>618</v>
      </c>
      <c r="G103" s="8" t="s">
        <v>619</v>
      </c>
    </row>
    <row r="104">
      <c r="A104" s="8" t="s">
        <v>620</v>
      </c>
      <c r="B104" s="8" t="s">
        <v>105</v>
      </c>
      <c r="C104" s="8" t="s">
        <v>621</v>
      </c>
      <c r="D104" s="8" t="s">
        <v>622</v>
      </c>
      <c r="E104" s="8" t="s">
        <v>623</v>
      </c>
      <c r="F104" s="8" t="s">
        <v>624</v>
      </c>
      <c r="G104" s="8" t="s">
        <v>625</v>
      </c>
    </row>
    <row r="105">
      <c r="A105" s="8" t="s">
        <v>620</v>
      </c>
      <c r="B105" s="8" t="s">
        <v>626</v>
      </c>
      <c r="C105" s="8" t="s">
        <v>627</v>
      </c>
      <c r="D105" s="16" t="s">
        <v>628</v>
      </c>
      <c r="E105" s="16" t="s">
        <v>629</v>
      </c>
      <c r="F105" s="10" t="s">
        <v>175</v>
      </c>
      <c r="G105" s="11" t="s">
        <v>630</v>
      </c>
    </row>
    <row r="106">
      <c r="A106" s="8" t="s">
        <v>620</v>
      </c>
      <c r="B106" s="8" t="s">
        <v>631</v>
      </c>
      <c r="C106" s="8" t="s">
        <v>632</v>
      </c>
      <c r="D106" s="8" t="s">
        <v>633</v>
      </c>
      <c r="E106" s="8" t="s">
        <v>634</v>
      </c>
      <c r="F106" s="8" t="s">
        <v>635</v>
      </c>
      <c r="G106" s="12" t="s">
        <v>636</v>
      </c>
    </row>
    <row r="107">
      <c r="A107" s="8" t="s">
        <v>620</v>
      </c>
      <c r="B107" s="8" t="s">
        <v>637</v>
      </c>
      <c r="C107" s="8" t="s">
        <v>638</v>
      </c>
      <c r="D107" s="8" t="s">
        <v>639</v>
      </c>
      <c r="E107" s="8" t="s">
        <v>640</v>
      </c>
      <c r="F107" s="8" t="s">
        <v>641</v>
      </c>
      <c r="G107" s="8" t="s">
        <v>642</v>
      </c>
    </row>
    <row r="108">
      <c r="A108" s="8" t="s">
        <v>620</v>
      </c>
      <c r="B108" s="8" t="s">
        <v>643</v>
      </c>
      <c r="C108" s="8" t="s">
        <v>644</v>
      </c>
      <c r="D108" s="8" t="s">
        <v>645</v>
      </c>
      <c r="E108" s="8" t="s">
        <v>646</v>
      </c>
      <c r="F108" s="8" t="s">
        <v>647</v>
      </c>
      <c r="G108" s="8" t="s">
        <v>648</v>
      </c>
    </row>
    <row r="109">
      <c r="A109" s="8" t="s">
        <v>620</v>
      </c>
      <c r="B109" s="8" t="s">
        <v>649</v>
      </c>
      <c r="C109" s="8" t="s">
        <v>650</v>
      </c>
      <c r="D109" s="8" t="s">
        <v>651</v>
      </c>
      <c r="E109" s="8" t="s">
        <v>652</v>
      </c>
      <c r="F109" s="8" t="s">
        <v>653</v>
      </c>
      <c r="G109" s="8" t="s">
        <v>654</v>
      </c>
    </row>
    <row r="110">
      <c r="A110" s="8" t="s">
        <v>620</v>
      </c>
      <c r="B110" s="8" t="s">
        <v>655</v>
      </c>
      <c r="C110" s="8" t="s">
        <v>656</v>
      </c>
      <c r="D110" s="8" t="s">
        <v>657</v>
      </c>
      <c r="E110" s="8" t="s">
        <v>658</v>
      </c>
      <c r="F110" s="8" t="s">
        <v>659</v>
      </c>
      <c r="G110" s="8" t="s">
        <v>660</v>
      </c>
    </row>
    <row r="111">
      <c r="A111" s="8" t="s">
        <v>620</v>
      </c>
      <c r="B111" s="8" t="s">
        <v>661</v>
      </c>
      <c r="C111" s="8" t="s">
        <v>662</v>
      </c>
      <c r="D111" s="8" t="s">
        <v>663</v>
      </c>
      <c r="E111" s="8" t="s">
        <v>664</v>
      </c>
      <c r="F111" s="8" t="s">
        <v>665</v>
      </c>
      <c r="G111" s="8" t="s">
        <v>666</v>
      </c>
    </row>
    <row r="112">
      <c r="A112" s="8" t="s">
        <v>620</v>
      </c>
      <c r="B112" s="8" t="s">
        <v>667</v>
      </c>
      <c r="C112" s="8" t="s">
        <v>668</v>
      </c>
      <c r="D112" s="8" t="s">
        <v>669</v>
      </c>
      <c r="E112" s="8" t="s">
        <v>670</v>
      </c>
      <c r="F112" s="8" t="s">
        <v>671</v>
      </c>
      <c r="G112" s="8" t="s">
        <v>672</v>
      </c>
    </row>
    <row r="113">
      <c r="A113" s="8" t="s">
        <v>673</v>
      </c>
      <c r="B113" s="8" t="s">
        <v>674</v>
      </c>
      <c r="C113" s="8" t="s">
        <v>675</v>
      </c>
      <c r="D113" s="8" t="s">
        <v>676</v>
      </c>
      <c r="E113" s="8" t="s">
        <v>677</v>
      </c>
      <c r="F113" s="8" t="s">
        <v>678</v>
      </c>
      <c r="G113" s="8" t="s">
        <v>679</v>
      </c>
    </row>
    <row r="114">
      <c r="A114" s="8" t="s">
        <v>673</v>
      </c>
      <c r="B114" s="8" t="s">
        <v>680</v>
      </c>
      <c r="C114" s="8" t="s">
        <v>681</v>
      </c>
      <c r="D114" s="8" t="s">
        <v>682</v>
      </c>
      <c r="E114" s="8" t="s">
        <v>683</v>
      </c>
      <c r="F114" s="8" t="s">
        <v>684</v>
      </c>
      <c r="G114" s="8" t="s">
        <v>685</v>
      </c>
    </row>
    <row r="115">
      <c r="A115" s="8" t="s">
        <v>673</v>
      </c>
      <c r="B115" s="8" t="s">
        <v>686</v>
      </c>
      <c r="C115" s="8" t="s">
        <v>687</v>
      </c>
      <c r="D115" s="8" t="s">
        <v>688</v>
      </c>
      <c r="E115" s="8" t="s">
        <v>689</v>
      </c>
      <c r="F115" s="8" t="s">
        <v>690</v>
      </c>
      <c r="G115" s="8" t="s">
        <v>691</v>
      </c>
    </row>
    <row r="116">
      <c r="A116" s="8" t="s">
        <v>673</v>
      </c>
      <c r="B116" s="8" t="s">
        <v>692</v>
      </c>
      <c r="C116" s="8" t="s">
        <v>693</v>
      </c>
      <c r="D116" s="8" t="s">
        <v>694</v>
      </c>
      <c r="E116" s="8" t="s">
        <v>695</v>
      </c>
      <c r="F116" s="8" t="s">
        <v>696</v>
      </c>
      <c r="G116" s="8" t="s">
        <v>697</v>
      </c>
    </row>
    <row r="117">
      <c r="A117" s="8" t="s">
        <v>673</v>
      </c>
      <c r="B117" s="8" t="s">
        <v>698</v>
      </c>
      <c r="C117" s="8" t="s">
        <v>699</v>
      </c>
      <c r="D117" s="9" t="s">
        <v>700</v>
      </c>
      <c r="E117" s="9" t="s">
        <v>701</v>
      </c>
      <c r="F117" s="8" t="s">
        <v>702</v>
      </c>
      <c r="G117" s="12" t="s">
        <v>703</v>
      </c>
    </row>
    <row r="118">
      <c r="A118" s="8" t="s">
        <v>673</v>
      </c>
      <c r="B118" s="8" t="s">
        <v>704</v>
      </c>
      <c r="C118" s="8" t="s">
        <v>705</v>
      </c>
      <c r="D118" s="8" t="s">
        <v>706</v>
      </c>
      <c r="E118" s="8" t="s">
        <v>707</v>
      </c>
      <c r="F118" s="8" t="s">
        <v>708</v>
      </c>
      <c r="G118" s="8" t="s">
        <v>709</v>
      </c>
    </row>
    <row r="119">
      <c r="A119" s="8" t="s">
        <v>673</v>
      </c>
      <c r="B119" s="8" t="s">
        <v>710</v>
      </c>
      <c r="C119" s="8" t="s">
        <v>711</v>
      </c>
      <c r="D119" s="8" t="s">
        <v>712</v>
      </c>
      <c r="E119" s="8" t="s">
        <v>713</v>
      </c>
      <c r="F119" s="8" t="s">
        <v>714</v>
      </c>
      <c r="G119" s="8" t="s">
        <v>715</v>
      </c>
    </row>
    <row r="120">
      <c r="A120" s="8" t="s">
        <v>673</v>
      </c>
      <c r="B120" s="8" t="s">
        <v>716</v>
      </c>
      <c r="C120" s="8" t="s">
        <v>717</v>
      </c>
      <c r="D120" s="8" t="s">
        <v>718</v>
      </c>
      <c r="E120" s="8" t="s">
        <v>719</v>
      </c>
      <c r="F120" s="8" t="s">
        <v>720</v>
      </c>
      <c r="G120" s="8" t="s">
        <v>721</v>
      </c>
    </row>
    <row r="121">
      <c r="A121" s="8" t="s">
        <v>673</v>
      </c>
      <c r="B121" s="8" t="s">
        <v>722</v>
      </c>
      <c r="C121" s="8" t="s">
        <v>723</v>
      </c>
      <c r="D121" s="8" t="s">
        <v>724</v>
      </c>
      <c r="E121" s="8" t="s">
        <v>725</v>
      </c>
      <c r="F121" s="8" t="s">
        <v>726</v>
      </c>
      <c r="G121" s="8" t="s">
        <v>727</v>
      </c>
    </row>
    <row r="122">
      <c r="A122" s="8" t="s">
        <v>673</v>
      </c>
      <c r="B122" s="8" t="s">
        <v>728</v>
      </c>
      <c r="C122" s="8" t="s">
        <v>729</v>
      </c>
      <c r="D122" s="8" t="s">
        <v>730</v>
      </c>
      <c r="E122" s="8" t="s">
        <v>731</v>
      </c>
      <c r="F122" s="8" t="s">
        <v>732</v>
      </c>
      <c r="G122" s="8" t="s">
        <v>733</v>
      </c>
    </row>
    <row r="123">
      <c r="A123" s="8" t="s">
        <v>673</v>
      </c>
      <c r="B123" s="8" t="s">
        <v>734</v>
      </c>
      <c r="C123" s="8" t="s">
        <v>735</v>
      </c>
      <c r="D123" s="8" t="s">
        <v>736</v>
      </c>
      <c r="E123" s="8" t="s">
        <v>737</v>
      </c>
      <c r="F123" s="8" t="s">
        <v>738</v>
      </c>
      <c r="G123" s="8" t="s">
        <v>739</v>
      </c>
    </row>
    <row r="124">
      <c r="A124" s="8" t="s">
        <v>673</v>
      </c>
      <c r="B124" s="8" t="s">
        <v>740</v>
      </c>
      <c r="C124" s="8" t="s">
        <v>741</v>
      </c>
      <c r="D124" s="8" t="s">
        <v>742</v>
      </c>
      <c r="E124" s="8" t="s">
        <v>743</v>
      </c>
      <c r="F124" s="8" t="s">
        <v>744</v>
      </c>
      <c r="G124" s="8" t="s">
        <v>745</v>
      </c>
    </row>
    <row r="125">
      <c r="A125" s="8" t="s">
        <v>673</v>
      </c>
      <c r="B125" s="8" t="s">
        <v>746</v>
      </c>
      <c r="C125" s="8" t="s">
        <v>747</v>
      </c>
      <c r="D125" s="8" t="s">
        <v>748</v>
      </c>
      <c r="E125" s="8" t="s">
        <v>749</v>
      </c>
      <c r="F125" s="8" t="s">
        <v>750</v>
      </c>
      <c r="G125" s="8" t="s">
        <v>751</v>
      </c>
    </row>
    <row r="126">
      <c r="A126" s="8" t="s">
        <v>673</v>
      </c>
      <c r="B126" s="8" t="s">
        <v>752</v>
      </c>
      <c r="C126" s="8" t="s">
        <v>753</v>
      </c>
      <c r="D126" s="8" t="s">
        <v>754</v>
      </c>
      <c r="E126" s="8" t="s">
        <v>755</v>
      </c>
      <c r="F126" s="8" t="s">
        <v>756</v>
      </c>
      <c r="G126" s="8" t="s">
        <v>757</v>
      </c>
    </row>
    <row r="127">
      <c r="A127" s="8" t="s">
        <v>673</v>
      </c>
      <c r="B127" s="8" t="s">
        <v>758</v>
      </c>
      <c r="C127" s="8" t="s">
        <v>759</v>
      </c>
      <c r="D127" s="8" t="s">
        <v>760</v>
      </c>
      <c r="E127" s="8" t="s">
        <v>761</v>
      </c>
      <c r="F127" s="8" t="s">
        <v>762</v>
      </c>
      <c r="G127" s="8" t="s">
        <v>763</v>
      </c>
    </row>
    <row r="128">
      <c r="A128" s="8" t="s">
        <v>673</v>
      </c>
      <c r="B128" s="8" t="s">
        <v>764</v>
      </c>
      <c r="C128" s="8" t="s">
        <v>765</v>
      </c>
      <c r="D128" s="8" t="s">
        <v>766</v>
      </c>
      <c r="E128" s="8" t="s">
        <v>767</v>
      </c>
      <c r="F128" s="8" t="s">
        <v>768</v>
      </c>
      <c r="G128" s="8" t="s">
        <v>769</v>
      </c>
    </row>
    <row r="129">
      <c r="A129" s="8" t="s">
        <v>673</v>
      </c>
      <c r="B129" s="8" t="s">
        <v>770</v>
      </c>
      <c r="C129" s="8" t="s">
        <v>771</v>
      </c>
      <c r="D129" s="8" t="s">
        <v>772</v>
      </c>
      <c r="E129" s="8" t="s">
        <v>773</v>
      </c>
      <c r="F129" s="8" t="s">
        <v>774</v>
      </c>
      <c r="G129" s="8" t="s">
        <v>775</v>
      </c>
    </row>
    <row r="130">
      <c r="A130" s="10" t="s">
        <v>776</v>
      </c>
      <c r="B130" s="10" t="s">
        <v>777</v>
      </c>
      <c r="C130" s="10" t="s">
        <v>778</v>
      </c>
      <c r="D130" s="10" t="s">
        <v>779</v>
      </c>
      <c r="E130" s="10" t="s">
        <v>780</v>
      </c>
      <c r="F130" s="10" t="s">
        <v>781</v>
      </c>
      <c r="G130" s="18" t="s">
        <v>782</v>
      </c>
    </row>
    <row r="131">
      <c r="A131" s="10" t="s">
        <v>776</v>
      </c>
      <c r="B131" s="10" t="s">
        <v>783</v>
      </c>
      <c r="C131" s="10" t="s">
        <v>784</v>
      </c>
      <c r="D131" s="10" t="s">
        <v>785</v>
      </c>
      <c r="E131" s="10" t="s">
        <v>786</v>
      </c>
      <c r="F131" s="10" t="s">
        <v>787</v>
      </c>
      <c r="G131" s="18" t="s">
        <v>788</v>
      </c>
    </row>
    <row r="132">
      <c r="A132" s="10" t="s">
        <v>776</v>
      </c>
      <c r="B132" s="10" t="s">
        <v>789</v>
      </c>
      <c r="C132" s="10" t="s">
        <v>790</v>
      </c>
      <c r="D132" s="10" t="s">
        <v>791</v>
      </c>
      <c r="E132" s="10" t="s">
        <v>792</v>
      </c>
      <c r="F132" s="16" t="s">
        <v>793</v>
      </c>
      <c r="G132" s="18" t="s">
        <v>794</v>
      </c>
    </row>
    <row r="133">
      <c r="A133" s="10" t="s">
        <v>776</v>
      </c>
      <c r="B133" s="10" t="s">
        <v>795</v>
      </c>
      <c r="C133" s="10" t="s">
        <v>796</v>
      </c>
      <c r="D133" s="10" t="s">
        <v>797</v>
      </c>
      <c r="E133" s="10" t="s">
        <v>798</v>
      </c>
      <c r="F133" s="10" t="s">
        <v>799</v>
      </c>
      <c r="G133" s="18" t="s">
        <v>800</v>
      </c>
    </row>
    <row r="134">
      <c r="A134" s="10" t="s">
        <v>776</v>
      </c>
      <c r="B134" s="10" t="s">
        <v>801</v>
      </c>
      <c r="C134" s="10" t="s">
        <v>802</v>
      </c>
      <c r="D134" s="10" t="s">
        <v>803</v>
      </c>
      <c r="E134" s="10" t="s">
        <v>804</v>
      </c>
      <c r="F134" s="10" t="s">
        <v>805</v>
      </c>
      <c r="G134" s="18" t="s">
        <v>806</v>
      </c>
    </row>
    <row r="135">
      <c r="A135" s="10" t="s">
        <v>776</v>
      </c>
      <c r="B135" s="10" t="s">
        <v>807</v>
      </c>
      <c r="C135" s="10" t="s">
        <v>808</v>
      </c>
      <c r="D135" s="10" t="s">
        <v>809</v>
      </c>
      <c r="E135" s="10" t="s">
        <v>810</v>
      </c>
      <c r="F135" s="10" t="s">
        <v>811</v>
      </c>
      <c r="G135" s="18" t="s">
        <v>812</v>
      </c>
    </row>
    <row r="136">
      <c r="A136" s="10" t="s">
        <v>776</v>
      </c>
      <c r="B136" s="10" t="s">
        <v>813</v>
      </c>
      <c r="C136" s="10" t="s">
        <v>814</v>
      </c>
      <c r="D136" s="16" t="s">
        <v>815</v>
      </c>
      <c r="E136" s="10" t="s">
        <v>816</v>
      </c>
      <c r="F136" s="10" t="s">
        <v>817</v>
      </c>
      <c r="G136" s="11" t="s">
        <v>818</v>
      </c>
    </row>
    <row r="137">
      <c r="A137" s="10" t="s">
        <v>776</v>
      </c>
      <c r="B137" s="10" t="s">
        <v>819</v>
      </c>
      <c r="C137" s="10" t="s">
        <v>820</v>
      </c>
      <c r="D137" s="10" t="s">
        <v>821</v>
      </c>
      <c r="E137" s="10" t="s">
        <v>822</v>
      </c>
      <c r="F137" s="10" t="s">
        <v>823</v>
      </c>
      <c r="G137" s="18" t="s">
        <v>824</v>
      </c>
    </row>
    <row r="138">
      <c r="A138" s="10" t="s">
        <v>776</v>
      </c>
      <c r="B138" s="10" t="s">
        <v>825</v>
      </c>
      <c r="C138" s="10" t="s">
        <v>826</v>
      </c>
      <c r="D138" s="10" t="s">
        <v>827</v>
      </c>
      <c r="E138" s="10" t="s">
        <v>828</v>
      </c>
      <c r="F138" s="10" t="s">
        <v>829</v>
      </c>
      <c r="G138" s="18" t="s">
        <v>830</v>
      </c>
    </row>
    <row r="139">
      <c r="A139" s="10" t="s">
        <v>776</v>
      </c>
      <c r="B139" s="10" t="s">
        <v>831</v>
      </c>
      <c r="C139" s="10" t="s">
        <v>832</v>
      </c>
      <c r="D139" s="10" t="s">
        <v>833</v>
      </c>
      <c r="E139" s="16" t="s">
        <v>834</v>
      </c>
      <c r="F139" s="16" t="s">
        <v>835</v>
      </c>
      <c r="G139" s="18" t="s">
        <v>836</v>
      </c>
    </row>
    <row r="140">
      <c r="A140" s="10" t="s">
        <v>776</v>
      </c>
      <c r="B140" s="10" t="s">
        <v>837</v>
      </c>
      <c r="C140" s="10" t="s">
        <v>838</v>
      </c>
      <c r="D140" s="10" t="s">
        <v>839</v>
      </c>
      <c r="E140" s="10" t="s">
        <v>840</v>
      </c>
      <c r="F140" s="10" t="s">
        <v>841</v>
      </c>
      <c r="G140" s="18" t="s">
        <v>842</v>
      </c>
    </row>
    <row r="141">
      <c r="A141" s="10" t="s">
        <v>776</v>
      </c>
      <c r="B141" s="10" t="s">
        <v>843</v>
      </c>
      <c r="C141" s="10" t="s">
        <v>844</v>
      </c>
      <c r="D141" s="10" t="s">
        <v>845</v>
      </c>
      <c r="E141" s="10" t="s">
        <v>846</v>
      </c>
      <c r="F141" s="10" t="s">
        <v>847</v>
      </c>
      <c r="G141" s="18" t="s">
        <v>848</v>
      </c>
    </row>
    <row r="142">
      <c r="A142" s="10" t="s">
        <v>776</v>
      </c>
      <c r="B142" s="10" t="s">
        <v>849</v>
      </c>
      <c r="C142" s="10" t="s">
        <v>850</v>
      </c>
      <c r="D142" s="10" t="s">
        <v>851</v>
      </c>
      <c r="E142" s="10" t="s">
        <v>852</v>
      </c>
      <c r="F142" s="10" t="s">
        <v>853</v>
      </c>
      <c r="G142" s="18" t="s">
        <v>854</v>
      </c>
    </row>
    <row r="143">
      <c r="A143" s="10" t="s">
        <v>776</v>
      </c>
      <c r="B143" s="10" t="s">
        <v>855</v>
      </c>
      <c r="C143" s="10" t="s">
        <v>856</v>
      </c>
      <c r="D143" s="10" t="s">
        <v>857</v>
      </c>
      <c r="E143" s="10" t="s">
        <v>858</v>
      </c>
      <c r="F143" s="10" t="s">
        <v>859</v>
      </c>
      <c r="G143" s="18" t="s">
        <v>860</v>
      </c>
    </row>
    <row r="144">
      <c r="A144" s="10" t="s">
        <v>776</v>
      </c>
      <c r="B144" s="10" t="s">
        <v>861</v>
      </c>
      <c r="C144" s="10" t="s">
        <v>862</v>
      </c>
      <c r="D144" s="10" t="s">
        <v>863</v>
      </c>
      <c r="E144" s="10" t="s">
        <v>864</v>
      </c>
      <c r="F144" s="10" t="s">
        <v>865</v>
      </c>
      <c r="G144" s="18" t="s">
        <v>866</v>
      </c>
    </row>
    <row r="145">
      <c r="A145" s="10" t="s">
        <v>776</v>
      </c>
      <c r="B145" s="10" t="s">
        <v>867</v>
      </c>
      <c r="C145" s="10" t="s">
        <v>868</v>
      </c>
      <c r="D145" s="10" t="s">
        <v>869</v>
      </c>
      <c r="E145" s="10" t="s">
        <v>870</v>
      </c>
      <c r="F145" s="10" t="s">
        <v>871</v>
      </c>
      <c r="G145" s="18" t="s">
        <v>872</v>
      </c>
    </row>
    <row r="146">
      <c r="A146" s="10" t="s">
        <v>776</v>
      </c>
      <c r="B146" s="10" t="s">
        <v>873</v>
      </c>
      <c r="C146" s="10" t="s">
        <v>874</v>
      </c>
      <c r="D146" s="10" t="s">
        <v>875</v>
      </c>
      <c r="E146" s="10" t="s">
        <v>876</v>
      </c>
      <c r="F146" s="10" t="s">
        <v>877</v>
      </c>
      <c r="G146" s="18" t="s">
        <v>878</v>
      </c>
    </row>
    <row r="147">
      <c r="A147" s="10" t="s">
        <v>776</v>
      </c>
      <c r="B147" s="10" t="s">
        <v>879</v>
      </c>
      <c r="C147" s="10" t="s">
        <v>880</v>
      </c>
      <c r="D147" s="16" t="s">
        <v>881</v>
      </c>
      <c r="E147" s="10" t="s">
        <v>882</v>
      </c>
      <c r="F147" s="16" t="s">
        <v>883</v>
      </c>
      <c r="G147" s="18" t="s">
        <v>884</v>
      </c>
    </row>
    <row r="148">
      <c r="A148" s="10" t="s">
        <v>776</v>
      </c>
      <c r="B148" s="10" t="s">
        <v>885</v>
      </c>
      <c r="C148" s="10" t="s">
        <v>886</v>
      </c>
      <c r="D148" s="10" t="s">
        <v>887</v>
      </c>
      <c r="E148" s="10" t="s">
        <v>888</v>
      </c>
      <c r="F148" s="10" t="s">
        <v>889</v>
      </c>
      <c r="G148" s="18" t="s">
        <v>890</v>
      </c>
    </row>
    <row r="149">
      <c r="A149" s="10" t="s">
        <v>776</v>
      </c>
      <c r="B149" s="10" t="s">
        <v>891</v>
      </c>
      <c r="C149" s="10" t="s">
        <v>892</v>
      </c>
      <c r="D149" s="10" t="s">
        <v>893</v>
      </c>
      <c r="E149" s="10" t="s">
        <v>894</v>
      </c>
      <c r="F149" s="10" t="s">
        <v>895</v>
      </c>
      <c r="G149" s="18" t="s">
        <v>896</v>
      </c>
    </row>
    <row r="150">
      <c r="A150" s="10" t="s">
        <v>897</v>
      </c>
      <c r="B150" s="10" t="s">
        <v>105</v>
      </c>
      <c r="C150" s="10" t="s">
        <v>898</v>
      </c>
      <c r="D150" s="10" t="s">
        <v>899</v>
      </c>
      <c r="E150" s="10" t="s">
        <v>900</v>
      </c>
      <c r="F150" s="10" t="s">
        <v>901</v>
      </c>
      <c r="G150" s="18" t="s">
        <v>902</v>
      </c>
    </row>
    <row r="151">
      <c r="A151" s="10" t="s">
        <v>897</v>
      </c>
      <c r="B151" s="10" t="s">
        <v>903</v>
      </c>
      <c r="C151" s="10" t="s">
        <v>904</v>
      </c>
      <c r="D151" s="10" t="s">
        <v>905</v>
      </c>
      <c r="E151" s="10" t="s">
        <v>906</v>
      </c>
      <c r="F151" s="10" t="s">
        <v>907</v>
      </c>
      <c r="G151" s="18" t="s">
        <v>908</v>
      </c>
    </row>
    <row r="152">
      <c r="A152" s="10" t="s">
        <v>897</v>
      </c>
      <c r="B152" s="10" t="s">
        <v>909</v>
      </c>
      <c r="C152" s="10" t="s">
        <v>910</v>
      </c>
      <c r="D152" s="10" t="s">
        <v>911</v>
      </c>
      <c r="E152" s="10" t="s">
        <v>912</v>
      </c>
      <c r="F152" s="16" t="s">
        <v>913</v>
      </c>
      <c r="G152" s="18" t="s">
        <v>914</v>
      </c>
    </row>
    <row r="153">
      <c r="A153" s="10" t="s">
        <v>897</v>
      </c>
      <c r="B153" s="10" t="s">
        <v>915</v>
      </c>
      <c r="C153" s="10" t="s">
        <v>916</v>
      </c>
      <c r="D153" s="10" t="s">
        <v>917</v>
      </c>
      <c r="E153" s="10" t="s">
        <v>918</v>
      </c>
      <c r="F153" s="10" t="s">
        <v>919</v>
      </c>
      <c r="G153" s="18" t="s">
        <v>920</v>
      </c>
    </row>
    <row r="154">
      <c r="A154" s="10" t="s">
        <v>897</v>
      </c>
      <c r="B154" s="10" t="s">
        <v>921</v>
      </c>
      <c r="C154" s="10" t="s">
        <v>922</v>
      </c>
      <c r="D154" s="10" t="s">
        <v>923</v>
      </c>
      <c r="E154" s="10" t="s">
        <v>924</v>
      </c>
      <c r="F154" s="10" t="s">
        <v>925</v>
      </c>
      <c r="G154" s="18" t="s">
        <v>926</v>
      </c>
    </row>
    <row r="155">
      <c r="A155" s="10" t="s">
        <v>897</v>
      </c>
      <c r="B155" s="10" t="s">
        <v>927</v>
      </c>
      <c r="C155" s="10" t="s">
        <v>928</v>
      </c>
      <c r="D155" s="10" t="s">
        <v>929</v>
      </c>
      <c r="E155" s="10" t="s">
        <v>930</v>
      </c>
      <c r="F155" s="10" t="s">
        <v>931</v>
      </c>
      <c r="G155" s="18" t="s">
        <v>932</v>
      </c>
    </row>
    <row r="156">
      <c r="A156" s="10" t="s">
        <v>897</v>
      </c>
      <c r="B156" s="10" t="s">
        <v>933</v>
      </c>
      <c r="C156" s="10" t="s">
        <v>934</v>
      </c>
      <c r="D156" s="16" t="s">
        <v>935</v>
      </c>
      <c r="E156" s="10" t="s">
        <v>936</v>
      </c>
      <c r="F156" s="10" t="s">
        <v>937</v>
      </c>
      <c r="G156" s="11" t="s">
        <v>938</v>
      </c>
    </row>
    <row r="157">
      <c r="A157" s="10" t="s">
        <v>897</v>
      </c>
      <c r="B157" s="10" t="s">
        <v>770</v>
      </c>
      <c r="C157" s="10" t="s">
        <v>939</v>
      </c>
      <c r="D157" s="10" t="s">
        <v>940</v>
      </c>
      <c r="E157" s="10" t="s">
        <v>941</v>
      </c>
      <c r="F157" s="10"/>
      <c r="G157" s="10"/>
    </row>
    <row r="158">
      <c r="A158" s="10" t="s">
        <v>942</v>
      </c>
      <c r="B158" s="10" t="s">
        <v>105</v>
      </c>
      <c r="C158" s="10" t="s">
        <v>943</v>
      </c>
      <c r="D158" s="10" t="s">
        <v>944</v>
      </c>
      <c r="E158" s="10" t="s">
        <v>945</v>
      </c>
      <c r="F158" s="10" t="s">
        <v>946</v>
      </c>
      <c r="G158" s="18" t="s">
        <v>947</v>
      </c>
    </row>
    <row r="159">
      <c r="A159" s="10" t="s">
        <v>942</v>
      </c>
      <c r="B159" s="10" t="s">
        <v>948</v>
      </c>
      <c r="C159" s="10" t="s">
        <v>949</v>
      </c>
      <c r="D159" s="10" t="s">
        <v>950</v>
      </c>
      <c r="E159" s="10" t="s">
        <v>951</v>
      </c>
      <c r="F159" s="10"/>
      <c r="G159" s="18" t="s">
        <v>952</v>
      </c>
    </row>
    <row r="160">
      <c r="A160" s="10" t="s">
        <v>942</v>
      </c>
      <c r="B160" s="10" t="s">
        <v>953</v>
      </c>
      <c r="C160" s="10" t="s">
        <v>954</v>
      </c>
      <c r="D160" s="10" t="s">
        <v>955</v>
      </c>
      <c r="E160" s="16" t="s">
        <v>956</v>
      </c>
      <c r="F160" s="10" t="s">
        <v>957</v>
      </c>
      <c r="G160" s="18" t="s">
        <v>958</v>
      </c>
    </row>
    <row r="161">
      <c r="A161" s="10" t="s">
        <v>942</v>
      </c>
      <c r="B161" s="10" t="s">
        <v>959</v>
      </c>
      <c r="C161" s="10" t="s">
        <v>960</v>
      </c>
      <c r="D161" s="16" t="s">
        <v>961</v>
      </c>
      <c r="E161" s="10" t="s">
        <v>962</v>
      </c>
      <c r="F161" s="10" t="s">
        <v>963</v>
      </c>
      <c r="G161" s="18" t="s">
        <v>964</v>
      </c>
    </row>
    <row r="162">
      <c r="A162" s="10" t="s">
        <v>942</v>
      </c>
      <c r="B162" s="10" t="s">
        <v>965</v>
      </c>
      <c r="C162" s="10" t="s">
        <v>966</v>
      </c>
      <c r="D162" s="16" t="s">
        <v>967</v>
      </c>
      <c r="E162" s="16" t="s">
        <v>968</v>
      </c>
      <c r="F162" s="16" t="s">
        <v>969</v>
      </c>
      <c r="G162" s="18" t="s">
        <v>970</v>
      </c>
    </row>
    <row r="163">
      <c r="A163" s="10" t="s">
        <v>942</v>
      </c>
      <c r="B163" s="10" t="s">
        <v>971</v>
      </c>
      <c r="C163" s="10" t="s">
        <v>972</v>
      </c>
      <c r="D163" s="16" t="s">
        <v>973</v>
      </c>
      <c r="E163" s="10" t="s">
        <v>974</v>
      </c>
      <c r="F163" s="16" t="s">
        <v>975</v>
      </c>
      <c r="G163" s="18" t="s">
        <v>976</v>
      </c>
    </row>
    <row r="164">
      <c r="A164" s="10" t="s">
        <v>942</v>
      </c>
      <c r="B164" s="10" t="s">
        <v>977</v>
      </c>
      <c r="C164" s="10" t="s">
        <v>978</v>
      </c>
      <c r="D164" s="16" t="s">
        <v>979</v>
      </c>
      <c r="E164" s="16" t="s">
        <v>980</v>
      </c>
      <c r="F164" s="16" t="s">
        <v>981</v>
      </c>
      <c r="G164" s="18" t="s">
        <v>982</v>
      </c>
    </row>
    <row r="165">
      <c r="A165" s="10" t="s">
        <v>942</v>
      </c>
      <c r="B165" s="10" t="s">
        <v>983</v>
      </c>
      <c r="C165" s="10" t="s">
        <v>984</v>
      </c>
      <c r="D165" s="16" t="s">
        <v>985</v>
      </c>
      <c r="E165" s="16" t="s">
        <v>986</v>
      </c>
      <c r="F165" s="16" t="s">
        <v>987</v>
      </c>
      <c r="G165" s="18" t="s">
        <v>988</v>
      </c>
    </row>
    <row r="166">
      <c r="A166" s="19" t="s">
        <v>989</v>
      </c>
      <c r="B166" s="19" t="s">
        <v>105</v>
      </c>
      <c r="C166" s="19" t="s">
        <v>990</v>
      </c>
      <c r="D166" s="19" t="s">
        <v>991</v>
      </c>
      <c r="E166" s="19" t="s">
        <v>992</v>
      </c>
      <c r="F166" s="19" t="s">
        <v>993</v>
      </c>
      <c r="G166" s="20" t="s">
        <v>994</v>
      </c>
    </row>
    <row r="167">
      <c r="A167" s="21" t="s">
        <v>989</v>
      </c>
      <c r="B167" s="21" t="s">
        <v>995</v>
      </c>
      <c r="C167" s="21" t="s">
        <v>996</v>
      </c>
      <c r="D167" s="21" t="s">
        <v>997</v>
      </c>
      <c r="E167" s="21" t="s">
        <v>998</v>
      </c>
      <c r="F167" s="21" t="s">
        <v>999</v>
      </c>
      <c r="G167" s="22" t="s">
        <v>1000</v>
      </c>
    </row>
    <row r="168">
      <c r="A168" s="19" t="s">
        <v>989</v>
      </c>
      <c r="B168" s="19" t="s">
        <v>1001</v>
      </c>
      <c r="C168" s="19" t="s">
        <v>1002</v>
      </c>
      <c r="D168" s="19" t="s">
        <v>1003</v>
      </c>
      <c r="E168" s="19" t="s">
        <v>1004</v>
      </c>
      <c r="F168" s="19" t="s">
        <v>1005</v>
      </c>
      <c r="G168" s="20" t="s">
        <v>1006</v>
      </c>
    </row>
    <row r="169">
      <c r="A169" s="21" t="s">
        <v>989</v>
      </c>
      <c r="B169" s="21" t="s">
        <v>1007</v>
      </c>
      <c r="C169" s="21" t="s">
        <v>1008</v>
      </c>
      <c r="D169" s="21" t="s">
        <v>1009</v>
      </c>
      <c r="E169" s="21" t="s">
        <v>1010</v>
      </c>
      <c r="F169" s="21" t="s">
        <v>1011</v>
      </c>
      <c r="G169" s="22" t="s">
        <v>1012</v>
      </c>
    </row>
    <row r="170">
      <c r="A170" s="19" t="s">
        <v>989</v>
      </c>
      <c r="B170" s="19" t="s">
        <v>1013</v>
      </c>
      <c r="C170" s="19" t="s">
        <v>1014</v>
      </c>
      <c r="D170" s="19" t="s">
        <v>1015</v>
      </c>
      <c r="E170" s="19" t="s">
        <v>1016</v>
      </c>
      <c r="F170" s="23"/>
      <c r="G170" s="20" t="s">
        <v>1017</v>
      </c>
    </row>
    <row r="171">
      <c r="A171" s="21" t="s">
        <v>989</v>
      </c>
      <c r="B171" s="21" t="s">
        <v>1018</v>
      </c>
      <c r="C171" s="21" t="s">
        <v>1019</v>
      </c>
      <c r="D171" s="21" t="s">
        <v>1020</v>
      </c>
      <c r="E171" s="21" t="s">
        <v>1021</v>
      </c>
      <c r="F171" s="21" t="s">
        <v>1022</v>
      </c>
      <c r="G171" s="22" t="s">
        <v>1023</v>
      </c>
    </row>
    <row r="172">
      <c r="A172" s="19" t="s">
        <v>989</v>
      </c>
      <c r="B172" s="19" t="s">
        <v>1024</v>
      </c>
      <c r="C172" s="19" t="s">
        <v>1025</v>
      </c>
      <c r="D172" s="19" t="s">
        <v>1026</v>
      </c>
      <c r="E172" s="19" t="s">
        <v>1027</v>
      </c>
      <c r="F172" s="19" t="s">
        <v>1028</v>
      </c>
      <c r="G172" s="20" t="s">
        <v>1029</v>
      </c>
    </row>
    <row r="173">
      <c r="A173" s="24" t="s">
        <v>1030</v>
      </c>
      <c r="B173" s="24" t="s">
        <v>105</v>
      </c>
      <c r="C173" s="24" t="s">
        <v>1031</v>
      </c>
      <c r="D173" s="24" t="s">
        <v>1032</v>
      </c>
      <c r="E173" s="24" t="s">
        <v>1033</v>
      </c>
      <c r="F173" s="25"/>
      <c r="G173" s="26" t="s">
        <v>1034</v>
      </c>
    </row>
    <row r="174">
      <c r="A174" s="27" t="s">
        <v>1030</v>
      </c>
      <c r="B174" s="27" t="s">
        <v>1035</v>
      </c>
      <c r="C174" s="27" t="s">
        <v>1036</v>
      </c>
      <c r="D174" s="27" t="s">
        <v>1037</v>
      </c>
      <c r="E174" s="27" t="s">
        <v>1038</v>
      </c>
      <c r="F174" s="27" t="s">
        <v>1039</v>
      </c>
      <c r="G174" s="28" t="s">
        <v>1040</v>
      </c>
    </row>
    <row r="175">
      <c r="A175" s="24" t="s">
        <v>1030</v>
      </c>
      <c r="B175" s="24" t="s">
        <v>1041</v>
      </c>
      <c r="C175" s="24" t="s">
        <v>1042</v>
      </c>
      <c r="D175" s="24" t="s">
        <v>1043</v>
      </c>
      <c r="E175" s="24" t="s">
        <v>1044</v>
      </c>
      <c r="F175" s="24" t="s">
        <v>1045</v>
      </c>
      <c r="G175" s="26" t="s">
        <v>1046</v>
      </c>
    </row>
    <row r="176">
      <c r="A176" s="27" t="s">
        <v>1030</v>
      </c>
      <c r="B176" s="27" t="s">
        <v>1047</v>
      </c>
      <c r="C176" s="27" t="s">
        <v>1048</v>
      </c>
      <c r="D176" s="27" t="s">
        <v>1049</v>
      </c>
      <c r="E176" s="27" t="s">
        <v>1050</v>
      </c>
      <c r="F176" s="27" t="s">
        <v>1051</v>
      </c>
      <c r="G176" s="28" t="s">
        <v>1052</v>
      </c>
    </row>
    <row r="177">
      <c r="A177" s="24" t="s">
        <v>1030</v>
      </c>
      <c r="B177" s="24" t="s">
        <v>1053</v>
      </c>
      <c r="C177" s="24" t="s">
        <v>1054</v>
      </c>
      <c r="D177" s="24" t="s">
        <v>1055</v>
      </c>
      <c r="E177" s="24" t="s">
        <v>1056</v>
      </c>
      <c r="F177" s="24" t="s">
        <v>1057</v>
      </c>
      <c r="G177" s="26" t="s">
        <v>1058</v>
      </c>
    </row>
    <row r="178">
      <c r="A178" s="27" t="s">
        <v>1030</v>
      </c>
      <c r="B178" s="27" t="s">
        <v>1059</v>
      </c>
      <c r="C178" s="27" t="s">
        <v>1060</v>
      </c>
      <c r="D178" s="27" t="s">
        <v>1061</v>
      </c>
      <c r="E178" s="27" t="s">
        <v>1062</v>
      </c>
      <c r="F178" s="27" t="s">
        <v>1063</v>
      </c>
      <c r="G178" s="28" t="s">
        <v>1064</v>
      </c>
    </row>
    <row r="179">
      <c r="A179" s="24" t="s">
        <v>1030</v>
      </c>
      <c r="B179" s="24" t="s">
        <v>1065</v>
      </c>
      <c r="C179" s="24" t="s">
        <v>1066</v>
      </c>
      <c r="D179" s="24" t="s">
        <v>1067</v>
      </c>
      <c r="E179" s="24" t="s">
        <v>1068</v>
      </c>
      <c r="F179" s="24" t="s">
        <v>1069</v>
      </c>
      <c r="G179" s="26" t="s">
        <v>1070</v>
      </c>
    </row>
    <row r="180">
      <c r="A180" s="27" t="s">
        <v>1030</v>
      </c>
      <c r="B180" s="27" t="s">
        <v>1071</v>
      </c>
      <c r="C180" s="27" t="s">
        <v>1072</v>
      </c>
      <c r="D180" s="27" t="s">
        <v>1073</v>
      </c>
      <c r="E180" s="27" t="s">
        <v>1074</v>
      </c>
      <c r="F180" s="27" t="s">
        <v>1075</v>
      </c>
      <c r="G180" s="28" t="s">
        <v>1076</v>
      </c>
    </row>
    <row r="181">
      <c r="A181" s="24" t="s">
        <v>1030</v>
      </c>
      <c r="B181" s="24" t="s">
        <v>1077</v>
      </c>
      <c r="C181" s="24" t="s">
        <v>1078</v>
      </c>
      <c r="D181" s="24" t="s">
        <v>1079</v>
      </c>
      <c r="E181" s="24" t="s">
        <v>1080</v>
      </c>
      <c r="F181" s="24" t="s">
        <v>1081</v>
      </c>
      <c r="G181" s="26" t="s">
        <v>1082</v>
      </c>
    </row>
    <row r="182">
      <c r="A182" s="29" t="s">
        <v>1083</v>
      </c>
      <c r="B182" s="29" t="s">
        <v>105</v>
      </c>
      <c r="C182" s="29" t="s">
        <v>1084</v>
      </c>
      <c r="D182" s="29" t="s">
        <v>1085</v>
      </c>
      <c r="E182" s="29" t="s">
        <v>1086</v>
      </c>
      <c r="F182" s="29" t="s">
        <v>1087</v>
      </c>
      <c r="G182" s="30" t="s">
        <v>1088</v>
      </c>
    </row>
    <row r="183">
      <c r="A183" s="31" t="s">
        <v>1083</v>
      </c>
      <c r="B183" s="31" t="s">
        <v>1089</v>
      </c>
      <c r="C183" s="31" t="s">
        <v>1090</v>
      </c>
      <c r="D183" s="31" t="s">
        <v>1091</v>
      </c>
      <c r="E183" s="31" t="s">
        <v>1092</v>
      </c>
      <c r="F183" s="31" t="s">
        <v>1093</v>
      </c>
      <c r="G183" s="32" t="s">
        <v>1094</v>
      </c>
    </row>
    <row r="184">
      <c r="A184" s="29" t="s">
        <v>1083</v>
      </c>
      <c r="B184" s="29" t="s">
        <v>1095</v>
      </c>
      <c r="C184" s="29" t="s">
        <v>1096</v>
      </c>
      <c r="D184" s="29" t="s">
        <v>1097</v>
      </c>
      <c r="E184" s="29" t="s">
        <v>1098</v>
      </c>
      <c r="F184" s="29" t="s">
        <v>1099</v>
      </c>
      <c r="G184" s="30" t="s">
        <v>1100</v>
      </c>
    </row>
    <row r="185">
      <c r="A185" s="31" t="s">
        <v>1083</v>
      </c>
      <c r="B185" s="31" t="s">
        <v>1101</v>
      </c>
      <c r="C185" s="31" t="s">
        <v>1102</v>
      </c>
      <c r="D185" s="31" t="s">
        <v>1103</v>
      </c>
      <c r="E185" s="31" t="s">
        <v>1104</v>
      </c>
      <c r="F185" s="31" t="s">
        <v>1105</v>
      </c>
      <c r="G185" s="32" t="s">
        <v>1106</v>
      </c>
    </row>
    <row r="186">
      <c r="A186" s="29" t="s">
        <v>1083</v>
      </c>
      <c r="B186" s="29" t="s">
        <v>1107</v>
      </c>
      <c r="C186" s="29" t="s">
        <v>1108</v>
      </c>
      <c r="D186" s="29" t="s">
        <v>1109</v>
      </c>
      <c r="E186" s="29" t="s">
        <v>1110</v>
      </c>
      <c r="F186" s="29" t="s">
        <v>1111</v>
      </c>
      <c r="G186" s="30" t="s">
        <v>1112</v>
      </c>
    </row>
    <row r="187">
      <c r="A187" s="31" t="s">
        <v>1083</v>
      </c>
      <c r="B187" s="31" t="s">
        <v>1113</v>
      </c>
      <c r="C187" s="31" t="s">
        <v>1114</v>
      </c>
      <c r="D187" s="31" t="s">
        <v>1115</v>
      </c>
      <c r="E187" s="31" t="s">
        <v>1116</v>
      </c>
      <c r="F187" s="31" t="s">
        <v>1117</v>
      </c>
      <c r="G187" s="32" t="s">
        <v>1118</v>
      </c>
    </row>
    <row r="188">
      <c r="A188" s="29" t="s">
        <v>1083</v>
      </c>
      <c r="B188" s="29" t="s">
        <v>1119</v>
      </c>
      <c r="C188" s="29" t="s">
        <v>1120</v>
      </c>
      <c r="D188" s="29" t="s">
        <v>1121</v>
      </c>
      <c r="E188" s="29" t="s">
        <v>1122</v>
      </c>
      <c r="F188" s="29" t="s">
        <v>1123</v>
      </c>
      <c r="G188" s="30" t="s">
        <v>1124</v>
      </c>
    </row>
    <row r="189">
      <c r="A189" s="31" t="s">
        <v>1083</v>
      </c>
      <c r="B189" s="31" t="s">
        <v>1125</v>
      </c>
      <c r="C189" s="31" t="s">
        <v>1126</v>
      </c>
      <c r="D189" s="31" t="s">
        <v>1127</v>
      </c>
      <c r="E189" s="31" t="s">
        <v>1128</v>
      </c>
      <c r="F189" s="31" t="s">
        <v>1129</v>
      </c>
      <c r="G189" s="32" t="s">
        <v>1130</v>
      </c>
    </row>
    <row r="190">
      <c r="A190" s="29" t="s">
        <v>1083</v>
      </c>
      <c r="B190" s="29" t="s">
        <v>572</v>
      </c>
      <c r="C190" s="29" t="s">
        <v>1131</v>
      </c>
      <c r="D190" s="29" t="s">
        <v>1132</v>
      </c>
      <c r="E190" s="29" t="s">
        <v>1133</v>
      </c>
      <c r="F190" s="29" t="s">
        <v>1134</v>
      </c>
      <c r="G190" s="30" t="s">
        <v>1135</v>
      </c>
    </row>
    <row r="191">
      <c r="A191" s="31" t="s">
        <v>1083</v>
      </c>
      <c r="B191" s="31" t="s">
        <v>1136</v>
      </c>
      <c r="C191" s="31" t="s">
        <v>1137</v>
      </c>
      <c r="D191" s="31" t="s">
        <v>1138</v>
      </c>
      <c r="E191" s="31" t="s">
        <v>1139</v>
      </c>
      <c r="F191" s="31" t="s">
        <v>1140</v>
      </c>
      <c r="G191" s="32" t="s">
        <v>1141</v>
      </c>
    </row>
    <row r="192">
      <c r="A192" s="29" t="s">
        <v>1083</v>
      </c>
      <c r="B192" s="29" t="s">
        <v>1142</v>
      </c>
      <c r="C192" s="29" t="s">
        <v>1143</v>
      </c>
      <c r="D192" s="29" t="s">
        <v>1144</v>
      </c>
      <c r="E192" s="29" t="s">
        <v>1145</v>
      </c>
      <c r="F192" s="29" t="s">
        <v>1146</v>
      </c>
      <c r="G192" s="30" t="s">
        <v>1147</v>
      </c>
    </row>
    <row r="193">
      <c r="A193" s="33" t="s">
        <v>1148</v>
      </c>
      <c r="B193" s="33" t="s">
        <v>1149</v>
      </c>
      <c r="C193" s="19" t="s">
        <v>1150</v>
      </c>
      <c r="D193" s="19" t="s">
        <v>1151</v>
      </c>
      <c r="E193" s="33" t="s">
        <v>1152</v>
      </c>
      <c r="F193" s="19" t="s">
        <v>1153</v>
      </c>
      <c r="G193" s="20" t="s">
        <v>1154</v>
      </c>
    </row>
    <row r="194">
      <c r="A194" s="34" t="s">
        <v>1148</v>
      </c>
      <c r="B194" s="34" t="s">
        <v>1155</v>
      </c>
      <c r="C194" s="21" t="s">
        <v>1156</v>
      </c>
      <c r="D194" s="21" t="s">
        <v>1157</v>
      </c>
      <c r="E194" s="34" t="s">
        <v>1158</v>
      </c>
      <c r="F194" s="21" t="s">
        <v>1159</v>
      </c>
      <c r="G194" s="22" t="s">
        <v>1160</v>
      </c>
    </row>
    <row r="195">
      <c r="A195" s="33" t="s">
        <v>1148</v>
      </c>
      <c r="B195" s="33" t="s">
        <v>1161</v>
      </c>
      <c r="C195" s="19" t="s">
        <v>1162</v>
      </c>
      <c r="D195" s="19" t="s">
        <v>1163</v>
      </c>
      <c r="E195" s="33" t="s">
        <v>1164</v>
      </c>
      <c r="F195" s="19" t="s">
        <v>1165</v>
      </c>
      <c r="G195" s="20" t="s">
        <v>1166</v>
      </c>
    </row>
    <row r="196">
      <c r="A196" s="34" t="s">
        <v>1148</v>
      </c>
      <c r="B196" s="34" t="s">
        <v>1167</v>
      </c>
      <c r="C196" s="21" t="s">
        <v>1168</v>
      </c>
      <c r="D196" s="21" t="s">
        <v>1169</v>
      </c>
      <c r="E196" s="34" t="s">
        <v>1170</v>
      </c>
      <c r="F196" s="21" t="s">
        <v>1171</v>
      </c>
      <c r="G196" s="22" t="s">
        <v>1172</v>
      </c>
    </row>
    <row r="197">
      <c r="A197" s="33" t="s">
        <v>1148</v>
      </c>
      <c r="B197" s="33" t="s">
        <v>1173</v>
      </c>
      <c r="C197" s="19" t="s">
        <v>1174</v>
      </c>
      <c r="D197" s="19" t="s">
        <v>1175</v>
      </c>
      <c r="E197" s="33" t="s">
        <v>1176</v>
      </c>
      <c r="F197" s="19" t="s">
        <v>1177</v>
      </c>
      <c r="G197" s="20" t="s">
        <v>1178</v>
      </c>
    </row>
    <row r="198">
      <c r="A198" s="34" t="s">
        <v>1148</v>
      </c>
      <c r="B198" s="34" t="s">
        <v>1179</v>
      </c>
      <c r="C198" s="21" t="s">
        <v>1180</v>
      </c>
      <c r="D198" s="21" t="s">
        <v>1181</v>
      </c>
      <c r="E198" s="34" t="s">
        <v>1182</v>
      </c>
      <c r="F198" s="21" t="s">
        <v>1183</v>
      </c>
      <c r="G198" s="22" t="s">
        <v>1184</v>
      </c>
    </row>
    <row r="199">
      <c r="A199" s="33" t="s">
        <v>1148</v>
      </c>
      <c r="B199" s="33" t="s">
        <v>1185</v>
      </c>
      <c r="C199" s="19" t="s">
        <v>1186</v>
      </c>
      <c r="D199" s="19" t="s">
        <v>1187</v>
      </c>
      <c r="E199" s="33" t="s">
        <v>1188</v>
      </c>
      <c r="F199" s="19" t="s">
        <v>1189</v>
      </c>
      <c r="G199" s="20" t="s">
        <v>1190</v>
      </c>
    </row>
    <row r="200">
      <c r="A200" s="34" t="s">
        <v>1148</v>
      </c>
      <c r="B200" s="34" t="s">
        <v>1191</v>
      </c>
      <c r="C200" s="21" t="s">
        <v>1192</v>
      </c>
      <c r="D200" s="21" t="s">
        <v>1193</v>
      </c>
      <c r="E200" s="34" t="s">
        <v>1194</v>
      </c>
      <c r="F200" s="21" t="s">
        <v>1195</v>
      </c>
      <c r="G200" s="22" t="s">
        <v>1196</v>
      </c>
    </row>
    <row r="201">
      <c r="A201" s="33" t="s">
        <v>1148</v>
      </c>
      <c r="B201" s="33" t="s">
        <v>1197</v>
      </c>
      <c r="C201" s="19" t="s">
        <v>1198</v>
      </c>
      <c r="D201" s="19" t="s">
        <v>1199</v>
      </c>
      <c r="E201" s="33" t="s">
        <v>1200</v>
      </c>
      <c r="F201" s="19" t="s">
        <v>1201</v>
      </c>
      <c r="G201" s="20" t="s">
        <v>1202</v>
      </c>
    </row>
    <row r="202">
      <c r="A202" s="34" t="s">
        <v>1148</v>
      </c>
      <c r="B202" s="34" t="s">
        <v>1203</v>
      </c>
      <c r="C202" s="21" t="s">
        <v>1204</v>
      </c>
      <c r="D202" s="21" t="s">
        <v>1205</v>
      </c>
      <c r="E202" s="34" t="s">
        <v>1206</v>
      </c>
      <c r="F202" s="21" t="s">
        <v>1207</v>
      </c>
      <c r="G202" s="22" t="s">
        <v>1208</v>
      </c>
    </row>
    <row r="203">
      <c r="A203" s="33" t="s">
        <v>1148</v>
      </c>
      <c r="B203" s="33" t="s">
        <v>1209</v>
      </c>
      <c r="C203" s="19" t="s">
        <v>1210</v>
      </c>
      <c r="D203" s="19" t="s">
        <v>1211</v>
      </c>
      <c r="E203" s="33" t="s">
        <v>1212</v>
      </c>
      <c r="F203" s="19" t="s">
        <v>1213</v>
      </c>
      <c r="G203" s="20" t="s">
        <v>1214</v>
      </c>
    </row>
    <row r="204">
      <c r="A204" s="34" t="s">
        <v>1148</v>
      </c>
      <c r="B204" s="34" t="s">
        <v>1215</v>
      </c>
      <c r="C204" s="21" t="s">
        <v>1216</v>
      </c>
      <c r="D204" s="21" t="s">
        <v>1217</v>
      </c>
      <c r="E204" s="34" t="s">
        <v>1218</v>
      </c>
      <c r="F204" s="21" t="s">
        <v>1219</v>
      </c>
      <c r="G204" s="22" t="s">
        <v>1220</v>
      </c>
    </row>
    <row r="205">
      <c r="A205" s="33" t="s">
        <v>1148</v>
      </c>
      <c r="B205" s="33" t="s">
        <v>1221</v>
      </c>
      <c r="C205" s="19" t="s">
        <v>1222</v>
      </c>
      <c r="D205" s="19" t="s">
        <v>1223</v>
      </c>
      <c r="E205" s="33" t="s">
        <v>1224</v>
      </c>
      <c r="F205" s="19" t="s">
        <v>1225</v>
      </c>
      <c r="G205" s="20" t="s">
        <v>1226</v>
      </c>
    </row>
    <row r="206">
      <c r="A206" s="34" t="s">
        <v>1148</v>
      </c>
      <c r="B206" s="34" t="s">
        <v>1227</v>
      </c>
      <c r="C206" s="21" t="s">
        <v>1228</v>
      </c>
      <c r="D206" s="21" t="s">
        <v>1229</v>
      </c>
      <c r="E206" s="34" t="s">
        <v>1230</v>
      </c>
      <c r="F206" s="21" t="s">
        <v>1231</v>
      </c>
      <c r="G206" s="22" t="s">
        <v>1232</v>
      </c>
    </row>
    <row r="207">
      <c r="A207" s="33" t="s">
        <v>1148</v>
      </c>
      <c r="B207" s="33" t="s">
        <v>1233</v>
      </c>
      <c r="C207" s="19" t="s">
        <v>1234</v>
      </c>
      <c r="D207" s="19" t="s">
        <v>1235</v>
      </c>
      <c r="E207" s="33" t="s">
        <v>1236</v>
      </c>
      <c r="F207" s="19" t="s">
        <v>1237</v>
      </c>
      <c r="G207" s="20" t="s">
        <v>1238</v>
      </c>
    </row>
    <row r="208">
      <c r="A208" s="34" t="s">
        <v>1148</v>
      </c>
      <c r="B208" s="34" t="s">
        <v>1239</v>
      </c>
      <c r="C208" s="21" t="s">
        <v>1240</v>
      </c>
      <c r="D208" s="21" t="s">
        <v>1241</v>
      </c>
      <c r="E208" s="34" t="s">
        <v>1242</v>
      </c>
      <c r="F208" s="21" t="s">
        <v>1243</v>
      </c>
      <c r="G208" s="22" t="s">
        <v>1244</v>
      </c>
    </row>
    <row r="209">
      <c r="A209" s="33" t="s">
        <v>1148</v>
      </c>
      <c r="B209" s="33" t="s">
        <v>1245</v>
      </c>
      <c r="C209" s="19" t="s">
        <v>1246</v>
      </c>
      <c r="D209" s="19" t="s">
        <v>1247</v>
      </c>
      <c r="E209" s="33" t="s">
        <v>1248</v>
      </c>
      <c r="F209" s="19" t="s">
        <v>1249</v>
      </c>
      <c r="G209" s="20" t="s">
        <v>1250</v>
      </c>
    </row>
    <row r="210">
      <c r="A210" s="34" t="s">
        <v>1148</v>
      </c>
      <c r="B210" s="34" t="s">
        <v>1251</v>
      </c>
      <c r="C210" s="21" t="s">
        <v>1252</v>
      </c>
      <c r="D210" s="21" t="s">
        <v>1253</v>
      </c>
      <c r="E210" s="34" t="s">
        <v>1254</v>
      </c>
      <c r="F210" s="21" t="s">
        <v>1255</v>
      </c>
      <c r="G210" s="35" t="s">
        <v>1256</v>
      </c>
    </row>
    <row r="211">
      <c r="A211" s="36" t="s">
        <v>1257</v>
      </c>
      <c r="B211" s="36" t="s">
        <v>105</v>
      </c>
      <c r="C211" s="36" t="s">
        <v>1258</v>
      </c>
      <c r="D211" s="36" t="s">
        <v>1259</v>
      </c>
      <c r="E211" s="36" t="s">
        <v>1260</v>
      </c>
      <c r="F211" s="36" t="s">
        <v>1261</v>
      </c>
      <c r="G211" s="37" t="s">
        <v>1262</v>
      </c>
    </row>
    <row r="212">
      <c r="A212" s="38" t="s">
        <v>1257</v>
      </c>
      <c r="B212" s="38" t="s">
        <v>1263</v>
      </c>
      <c r="C212" s="38" t="s">
        <v>1264</v>
      </c>
      <c r="D212" s="38" t="s">
        <v>1265</v>
      </c>
      <c r="E212" s="38" t="s">
        <v>1266</v>
      </c>
      <c r="F212" s="38" t="s">
        <v>1267</v>
      </c>
      <c r="G212" s="39" t="s">
        <v>1268</v>
      </c>
    </row>
    <row r="213">
      <c r="A213" s="36" t="s">
        <v>1257</v>
      </c>
      <c r="B213" s="36" t="s">
        <v>1269</v>
      </c>
      <c r="C213" s="36" t="s">
        <v>1270</v>
      </c>
      <c r="D213" s="36" t="s">
        <v>1271</v>
      </c>
      <c r="E213" s="36" t="s">
        <v>1272</v>
      </c>
      <c r="F213" s="36" t="s">
        <v>1273</v>
      </c>
      <c r="G213" s="37" t="s">
        <v>1274</v>
      </c>
    </row>
    <row r="214">
      <c r="A214" s="38" t="s">
        <v>1257</v>
      </c>
      <c r="B214" s="38" t="s">
        <v>1275</v>
      </c>
      <c r="C214" s="38" t="s">
        <v>1276</v>
      </c>
      <c r="D214" s="38" t="s">
        <v>1277</v>
      </c>
      <c r="E214" s="38" t="s">
        <v>1278</v>
      </c>
      <c r="F214" s="38" t="s">
        <v>1279</v>
      </c>
      <c r="G214" s="39" t="s">
        <v>1280</v>
      </c>
    </row>
    <row r="215">
      <c r="A215" s="36" t="s">
        <v>1257</v>
      </c>
      <c r="B215" s="36" t="s">
        <v>1281</v>
      </c>
      <c r="C215" s="36" t="s">
        <v>1282</v>
      </c>
      <c r="D215" s="36" t="s">
        <v>1283</v>
      </c>
      <c r="E215" s="36" t="s">
        <v>1284</v>
      </c>
      <c r="F215" s="36" t="s">
        <v>1285</v>
      </c>
      <c r="G215" s="37" t="s">
        <v>1286</v>
      </c>
    </row>
    <row r="216">
      <c r="A216" s="38" t="s">
        <v>1257</v>
      </c>
      <c r="B216" s="38" t="s">
        <v>1287</v>
      </c>
      <c r="C216" s="38" t="s">
        <v>1288</v>
      </c>
      <c r="D216" s="38" t="s">
        <v>1289</v>
      </c>
      <c r="E216" s="38" t="s">
        <v>1290</v>
      </c>
      <c r="F216" s="38" t="s">
        <v>1291</v>
      </c>
      <c r="G216" s="39" t="s">
        <v>1292</v>
      </c>
    </row>
    <row r="217">
      <c r="A217" s="36" t="s">
        <v>1257</v>
      </c>
      <c r="B217" s="36" t="s">
        <v>1293</v>
      </c>
      <c r="C217" s="36" t="s">
        <v>1294</v>
      </c>
      <c r="D217" s="36" t="s">
        <v>1295</v>
      </c>
      <c r="E217" s="36" t="s">
        <v>1296</v>
      </c>
      <c r="F217" s="36" t="s">
        <v>1297</v>
      </c>
      <c r="G217" s="37" t="s">
        <v>1298</v>
      </c>
    </row>
    <row r="218">
      <c r="A218" s="38" t="s">
        <v>1257</v>
      </c>
      <c r="B218" s="38" t="s">
        <v>1299</v>
      </c>
      <c r="C218" s="38" t="s">
        <v>1300</v>
      </c>
      <c r="D218" s="38" t="s">
        <v>1301</v>
      </c>
      <c r="E218" s="38" t="s">
        <v>1302</v>
      </c>
      <c r="F218" s="38" t="s">
        <v>1303</v>
      </c>
      <c r="G218" s="39" t="s">
        <v>1304</v>
      </c>
    </row>
    <row r="219">
      <c r="A219" s="36" t="s">
        <v>1257</v>
      </c>
      <c r="B219" s="36" t="s">
        <v>1305</v>
      </c>
      <c r="C219" s="36" t="s">
        <v>1306</v>
      </c>
      <c r="D219" s="36" t="s">
        <v>1307</v>
      </c>
      <c r="E219" s="36" t="s">
        <v>1308</v>
      </c>
      <c r="F219" s="36" t="s">
        <v>1309</v>
      </c>
      <c r="G219" s="37" t="s">
        <v>1310</v>
      </c>
    </row>
    <row r="220">
      <c r="A220" s="38" t="s">
        <v>1257</v>
      </c>
      <c r="B220" s="38" t="s">
        <v>1311</v>
      </c>
      <c r="C220" s="38" t="s">
        <v>1312</v>
      </c>
      <c r="D220" s="38" t="s">
        <v>1313</v>
      </c>
      <c r="E220" s="38" t="s">
        <v>1314</v>
      </c>
      <c r="F220" s="38" t="s">
        <v>1315</v>
      </c>
      <c r="G220" s="39" t="s">
        <v>1316</v>
      </c>
    </row>
    <row r="221">
      <c r="A221" s="36" t="s">
        <v>1257</v>
      </c>
      <c r="B221" s="36" t="s">
        <v>1317</v>
      </c>
      <c r="C221" s="36" t="s">
        <v>1318</v>
      </c>
      <c r="D221" s="36" t="s">
        <v>1319</v>
      </c>
      <c r="E221" s="36" t="s">
        <v>1320</v>
      </c>
      <c r="F221" s="36" t="s">
        <v>1321</v>
      </c>
      <c r="G221" s="37" t="s">
        <v>1322</v>
      </c>
    </row>
    <row r="222">
      <c r="A222" s="38" t="s">
        <v>1257</v>
      </c>
      <c r="B222" s="38" t="s">
        <v>1323</v>
      </c>
      <c r="C222" s="38" t="s">
        <v>1324</v>
      </c>
      <c r="D222" s="38" t="s">
        <v>1325</v>
      </c>
      <c r="E222" s="38" t="s">
        <v>1326</v>
      </c>
      <c r="F222" s="38" t="s">
        <v>1327</v>
      </c>
      <c r="G222" s="39" t="s">
        <v>1328</v>
      </c>
    </row>
    <row r="223">
      <c r="A223" s="40" t="s">
        <v>1329</v>
      </c>
      <c r="B223" s="40" t="s">
        <v>105</v>
      </c>
      <c r="C223" s="40" t="s">
        <v>1330</v>
      </c>
      <c r="D223" s="40" t="s">
        <v>1331</v>
      </c>
      <c r="E223" s="40" t="s">
        <v>1332</v>
      </c>
      <c r="F223" s="40" t="s">
        <v>1333</v>
      </c>
      <c r="G223" s="41" t="s">
        <v>1334</v>
      </c>
    </row>
    <row r="224">
      <c r="A224" s="42" t="s">
        <v>1329</v>
      </c>
      <c r="B224" s="42" t="s">
        <v>1335</v>
      </c>
      <c r="C224" s="42" t="s">
        <v>1336</v>
      </c>
      <c r="D224" s="42" t="s">
        <v>1337</v>
      </c>
      <c r="E224" s="42" t="s">
        <v>1338</v>
      </c>
      <c r="F224" s="42" t="s">
        <v>1339</v>
      </c>
      <c r="G224" s="43" t="s">
        <v>1340</v>
      </c>
    </row>
    <row r="225">
      <c r="A225" s="40" t="s">
        <v>1329</v>
      </c>
      <c r="B225" s="40" t="s">
        <v>1341</v>
      </c>
      <c r="C225" s="40" t="s">
        <v>1342</v>
      </c>
      <c r="D225" s="40" t="s">
        <v>1343</v>
      </c>
      <c r="E225" s="40" t="s">
        <v>1344</v>
      </c>
      <c r="F225" s="40" t="s">
        <v>1345</v>
      </c>
      <c r="G225" s="41" t="s">
        <v>1346</v>
      </c>
    </row>
    <row r="226">
      <c r="A226" s="42" t="s">
        <v>1329</v>
      </c>
      <c r="B226" s="42" t="s">
        <v>1347</v>
      </c>
      <c r="C226" s="42" t="s">
        <v>1348</v>
      </c>
      <c r="D226" s="42" t="s">
        <v>1349</v>
      </c>
      <c r="E226" s="42" t="s">
        <v>1350</v>
      </c>
      <c r="F226" s="42" t="s">
        <v>1351</v>
      </c>
      <c r="G226" s="43" t="s">
        <v>1352</v>
      </c>
    </row>
    <row r="227">
      <c r="A227" s="40" t="s">
        <v>1329</v>
      </c>
      <c r="B227" s="40" t="s">
        <v>1353</v>
      </c>
      <c r="C227" s="40" t="s">
        <v>1354</v>
      </c>
      <c r="D227" s="40" t="s">
        <v>1355</v>
      </c>
      <c r="E227" s="40" t="s">
        <v>1356</v>
      </c>
      <c r="F227" s="40" t="s">
        <v>1357</v>
      </c>
      <c r="G227" s="41" t="s">
        <v>1358</v>
      </c>
    </row>
    <row r="228">
      <c r="A228" s="42" t="s">
        <v>1329</v>
      </c>
      <c r="B228" s="42" t="s">
        <v>1359</v>
      </c>
      <c r="C228" s="42" t="s">
        <v>1360</v>
      </c>
      <c r="D228" s="42" t="s">
        <v>1361</v>
      </c>
      <c r="E228" s="42" t="s">
        <v>1362</v>
      </c>
      <c r="F228" s="42" t="s">
        <v>1363</v>
      </c>
      <c r="G228" s="43" t="s">
        <v>1364</v>
      </c>
    </row>
    <row r="229">
      <c r="A229" s="40" t="s">
        <v>1329</v>
      </c>
      <c r="B229" s="40" t="s">
        <v>1365</v>
      </c>
      <c r="C229" s="40" t="s">
        <v>1366</v>
      </c>
      <c r="D229" s="40" t="s">
        <v>1367</v>
      </c>
      <c r="E229" s="40" t="s">
        <v>1368</v>
      </c>
      <c r="F229" s="40" t="s">
        <v>1369</v>
      </c>
      <c r="G229" s="41" t="s">
        <v>1370</v>
      </c>
    </row>
    <row r="230">
      <c r="A230" s="42" t="s">
        <v>1329</v>
      </c>
      <c r="B230" s="42" t="s">
        <v>1371</v>
      </c>
      <c r="C230" s="42" t="s">
        <v>1372</v>
      </c>
      <c r="D230" s="42" t="s">
        <v>1373</v>
      </c>
      <c r="E230" s="42" t="s">
        <v>1374</v>
      </c>
      <c r="F230" s="42" t="s">
        <v>1375</v>
      </c>
      <c r="G230" s="43" t="s">
        <v>1376</v>
      </c>
    </row>
    <row r="231">
      <c r="A231" s="40" t="s">
        <v>1329</v>
      </c>
      <c r="B231" s="40" t="s">
        <v>1377</v>
      </c>
      <c r="C231" s="40" t="s">
        <v>1378</v>
      </c>
      <c r="D231" s="40" t="s">
        <v>1379</v>
      </c>
      <c r="E231" s="40" t="s">
        <v>1380</v>
      </c>
      <c r="F231" s="40" t="s">
        <v>1381</v>
      </c>
      <c r="G231" s="41" t="s">
        <v>1382</v>
      </c>
    </row>
    <row r="232">
      <c r="A232" s="42" t="s">
        <v>1329</v>
      </c>
      <c r="B232" s="42" t="s">
        <v>1383</v>
      </c>
      <c r="C232" s="42" t="s">
        <v>1384</v>
      </c>
      <c r="D232" s="42" t="s">
        <v>1385</v>
      </c>
      <c r="E232" s="42" t="s">
        <v>1386</v>
      </c>
      <c r="F232" s="42" t="s">
        <v>1387</v>
      </c>
      <c r="G232" s="43" t="s">
        <v>1388</v>
      </c>
    </row>
    <row r="233">
      <c r="A233" s="40" t="s">
        <v>1329</v>
      </c>
      <c r="B233" s="40" t="s">
        <v>1389</v>
      </c>
      <c r="C233" s="40" t="s">
        <v>1390</v>
      </c>
      <c r="D233" s="40" t="s">
        <v>1391</v>
      </c>
      <c r="E233" s="40" t="s">
        <v>1392</v>
      </c>
      <c r="F233" s="40" t="s">
        <v>1393</v>
      </c>
      <c r="G233" s="41" t="s">
        <v>1394</v>
      </c>
    </row>
    <row r="234">
      <c r="A234" s="42" t="s">
        <v>1329</v>
      </c>
      <c r="B234" s="42" t="s">
        <v>1395</v>
      </c>
      <c r="C234" s="42" t="s">
        <v>1396</v>
      </c>
      <c r="D234" s="44"/>
      <c r="E234" s="42" t="s">
        <v>1397</v>
      </c>
      <c r="F234" s="42" t="s">
        <v>1398</v>
      </c>
      <c r="G234" s="43" t="s">
        <v>1399</v>
      </c>
    </row>
    <row r="235">
      <c r="A235" s="45" t="s">
        <v>1400</v>
      </c>
      <c r="B235" s="45" t="s">
        <v>105</v>
      </c>
      <c r="C235" s="46" t="s">
        <v>1401</v>
      </c>
      <c r="D235" s="46" t="s">
        <v>1402</v>
      </c>
      <c r="E235" s="46" t="s">
        <v>1403</v>
      </c>
      <c r="F235" s="46" t="s">
        <v>1404</v>
      </c>
      <c r="G235" s="47" t="s">
        <v>1405</v>
      </c>
    </row>
    <row r="236">
      <c r="A236" s="48" t="s">
        <v>1400</v>
      </c>
      <c r="B236" s="48" t="s">
        <v>1406</v>
      </c>
      <c r="C236" s="49" t="s">
        <v>1407</v>
      </c>
      <c r="D236" s="49" t="s">
        <v>1408</v>
      </c>
      <c r="E236" s="49" t="s">
        <v>1409</v>
      </c>
      <c r="F236" s="49" t="s">
        <v>1410</v>
      </c>
      <c r="G236" s="50" t="s">
        <v>1411</v>
      </c>
    </row>
    <row r="237">
      <c r="A237" s="45" t="s">
        <v>1400</v>
      </c>
      <c r="B237" s="45" t="s">
        <v>171</v>
      </c>
      <c r="C237" s="46" t="s">
        <v>1412</v>
      </c>
      <c r="D237" s="46" t="s">
        <v>1413</v>
      </c>
      <c r="E237" s="46" t="s">
        <v>1414</v>
      </c>
      <c r="F237" s="46" t="s">
        <v>1415</v>
      </c>
      <c r="G237" s="47" t="s">
        <v>1416</v>
      </c>
    </row>
    <row r="238">
      <c r="A238" s="48" t="s">
        <v>1400</v>
      </c>
      <c r="B238" s="48" t="s">
        <v>1417</v>
      </c>
      <c r="C238" s="49" t="s">
        <v>1418</v>
      </c>
      <c r="D238" s="49" t="s">
        <v>1419</v>
      </c>
      <c r="E238" s="49" t="s">
        <v>1420</v>
      </c>
      <c r="F238" s="51"/>
      <c r="G238" s="50" t="s">
        <v>1421</v>
      </c>
    </row>
    <row r="239">
      <c r="A239" s="45" t="s">
        <v>1400</v>
      </c>
      <c r="B239" s="45" t="s">
        <v>1422</v>
      </c>
      <c r="C239" s="46" t="s">
        <v>1423</v>
      </c>
      <c r="D239" s="46" t="s">
        <v>1424</v>
      </c>
      <c r="E239" s="46" t="s">
        <v>1425</v>
      </c>
      <c r="F239" s="46" t="s">
        <v>1426</v>
      </c>
      <c r="G239" s="47" t="s">
        <v>1427</v>
      </c>
    </row>
    <row r="240">
      <c r="A240" s="48" t="s">
        <v>1400</v>
      </c>
      <c r="B240" s="48" t="s">
        <v>1428</v>
      </c>
      <c r="C240" s="49" t="s">
        <v>1429</v>
      </c>
      <c r="D240" s="49" t="s">
        <v>1430</v>
      </c>
      <c r="E240" s="49" t="s">
        <v>1431</v>
      </c>
      <c r="F240" s="49" t="s">
        <v>1432</v>
      </c>
      <c r="G240" s="50" t="s">
        <v>1433</v>
      </c>
    </row>
    <row r="241">
      <c r="A241" s="45" t="s">
        <v>1400</v>
      </c>
      <c r="B241" s="45" t="s">
        <v>1434</v>
      </c>
      <c r="C241" s="46" t="s">
        <v>1435</v>
      </c>
      <c r="D241" s="46" t="s">
        <v>1436</v>
      </c>
      <c r="E241" s="46" t="s">
        <v>1437</v>
      </c>
      <c r="F241" s="46" t="s">
        <v>1438</v>
      </c>
      <c r="G241" s="47" t="s">
        <v>1439</v>
      </c>
    </row>
    <row r="242">
      <c r="A242" s="48" t="s">
        <v>1400</v>
      </c>
      <c r="B242" s="48" t="s">
        <v>1440</v>
      </c>
      <c r="C242" s="49" t="s">
        <v>1441</v>
      </c>
      <c r="D242" s="49" t="s">
        <v>1442</v>
      </c>
      <c r="E242" s="49" t="s">
        <v>1443</v>
      </c>
      <c r="F242" s="49" t="s">
        <v>1444</v>
      </c>
      <c r="G242" s="50" t="s">
        <v>1445</v>
      </c>
    </row>
    <row r="243">
      <c r="A243" s="45" t="s">
        <v>1400</v>
      </c>
      <c r="B243" s="45" t="s">
        <v>1446</v>
      </c>
      <c r="C243" s="46" t="s">
        <v>1447</v>
      </c>
      <c r="D243" s="46" t="s">
        <v>1448</v>
      </c>
      <c r="E243" s="46" t="s">
        <v>1449</v>
      </c>
      <c r="F243" s="46" t="s">
        <v>1450</v>
      </c>
      <c r="G243" s="47" t="s">
        <v>1451</v>
      </c>
    </row>
    <row r="244">
      <c r="A244" s="48" t="s">
        <v>1400</v>
      </c>
      <c r="B244" s="48" t="s">
        <v>1452</v>
      </c>
      <c r="C244" s="49" t="s">
        <v>1453</v>
      </c>
      <c r="D244" s="49" t="s">
        <v>1454</v>
      </c>
      <c r="E244" s="49" t="s">
        <v>1455</v>
      </c>
      <c r="F244" s="49" t="s">
        <v>1456</v>
      </c>
      <c r="G244" s="50" t="s">
        <v>1457</v>
      </c>
    </row>
    <row r="245">
      <c r="A245" s="45" t="s">
        <v>1400</v>
      </c>
      <c r="B245" s="45" t="s">
        <v>1458</v>
      </c>
      <c r="C245" s="46" t="s">
        <v>1459</v>
      </c>
      <c r="D245" s="46" t="s">
        <v>1460</v>
      </c>
      <c r="E245" s="46" t="s">
        <v>1461</v>
      </c>
      <c r="F245" s="52"/>
      <c r="G245" s="53" t="s">
        <v>1462</v>
      </c>
    </row>
    <row r="246">
      <c r="A246" s="48" t="s">
        <v>1400</v>
      </c>
      <c r="B246" s="48" t="s">
        <v>1463</v>
      </c>
      <c r="C246" s="49" t="s">
        <v>1464</v>
      </c>
      <c r="D246" s="49" t="s">
        <v>1465</v>
      </c>
      <c r="E246" s="49" t="s">
        <v>1466</v>
      </c>
      <c r="F246" s="49" t="s">
        <v>1467</v>
      </c>
      <c r="G246" s="54" t="s">
        <v>1468</v>
      </c>
    </row>
    <row r="247">
      <c r="A247" s="45" t="s">
        <v>1400</v>
      </c>
      <c r="B247" s="45" t="s">
        <v>1469</v>
      </c>
      <c r="C247" s="46" t="s">
        <v>1470</v>
      </c>
      <c r="D247" s="46" t="s">
        <v>1471</v>
      </c>
      <c r="E247" s="55" t="s">
        <v>1472</v>
      </c>
      <c r="F247" s="46" t="s">
        <v>1473</v>
      </c>
      <c r="G247" s="47" t="s">
        <v>1474</v>
      </c>
    </row>
    <row r="248">
      <c r="A248" s="48" t="s">
        <v>1400</v>
      </c>
      <c r="B248" s="48" t="s">
        <v>1475</v>
      </c>
      <c r="C248" s="49" t="s">
        <v>1476</v>
      </c>
      <c r="D248" s="49" t="s">
        <v>1477</v>
      </c>
      <c r="E248" s="49" t="s">
        <v>1478</v>
      </c>
      <c r="F248" s="49" t="s">
        <v>1479</v>
      </c>
      <c r="G248" s="50" t="s">
        <v>1480</v>
      </c>
    </row>
    <row r="249">
      <c r="A249" s="56" t="s">
        <v>1481</v>
      </c>
      <c r="B249" s="56" t="s">
        <v>1482</v>
      </c>
      <c r="C249" s="56" t="s">
        <v>1483</v>
      </c>
      <c r="D249" s="56" t="s">
        <v>1484</v>
      </c>
      <c r="E249" s="56" t="s">
        <v>1485</v>
      </c>
      <c r="F249" s="56" t="s">
        <v>1486</v>
      </c>
      <c r="G249" s="57" t="s">
        <v>1487</v>
      </c>
    </row>
    <row r="250">
      <c r="A250" s="58" t="s">
        <v>1481</v>
      </c>
      <c r="B250" s="58" t="s">
        <v>1488</v>
      </c>
      <c r="C250" s="58" t="s">
        <v>1489</v>
      </c>
      <c r="D250" s="58" t="s">
        <v>1490</v>
      </c>
      <c r="E250" s="58" t="s">
        <v>1491</v>
      </c>
      <c r="F250" s="58" t="s">
        <v>1492</v>
      </c>
      <c r="G250" s="59" t="s">
        <v>1493</v>
      </c>
    </row>
    <row r="251">
      <c r="A251" s="56" t="s">
        <v>1481</v>
      </c>
      <c r="B251" s="56" t="s">
        <v>1494</v>
      </c>
      <c r="C251" s="56" t="s">
        <v>1495</v>
      </c>
      <c r="D251" s="60"/>
      <c r="E251" s="56" t="s">
        <v>1496</v>
      </c>
      <c r="F251" s="56" t="s">
        <v>1497</v>
      </c>
      <c r="G251" s="57" t="s">
        <v>1498</v>
      </c>
    </row>
    <row r="252">
      <c r="A252" s="58" t="s">
        <v>1481</v>
      </c>
      <c r="B252" s="58" t="s">
        <v>1499</v>
      </c>
      <c r="C252" s="58" t="s">
        <v>1500</v>
      </c>
      <c r="D252" s="58" t="s">
        <v>1501</v>
      </c>
      <c r="E252" s="58" t="s">
        <v>1502</v>
      </c>
      <c r="F252" s="58" t="s">
        <v>1503</v>
      </c>
      <c r="G252" s="59" t="s">
        <v>1504</v>
      </c>
    </row>
    <row r="253">
      <c r="A253" s="56" t="s">
        <v>1481</v>
      </c>
      <c r="B253" s="56" t="s">
        <v>1505</v>
      </c>
      <c r="C253" s="56" t="s">
        <v>1506</v>
      </c>
      <c r="D253" s="56" t="s">
        <v>1507</v>
      </c>
      <c r="E253" s="56" t="s">
        <v>1508</v>
      </c>
      <c r="F253" s="56" t="s">
        <v>1509</v>
      </c>
      <c r="G253" s="61" t="s">
        <v>1510</v>
      </c>
    </row>
    <row r="254">
      <c r="A254" s="58" t="s">
        <v>1481</v>
      </c>
      <c r="B254" s="58" t="s">
        <v>1511</v>
      </c>
      <c r="C254" s="58" t="s">
        <v>1512</v>
      </c>
      <c r="D254" s="58" t="s">
        <v>1513</v>
      </c>
      <c r="E254" s="58" t="s">
        <v>1514</v>
      </c>
      <c r="F254" s="58" t="s">
        <v>1515</v>
      </c>
      <c r="G254" s="59" t="s">
        <v>1516</v>
      </c>
    </row>
    <row r="255">
      <c r="A255" s="56" t="s">
        <v>1481</v>
      </c>
      <c r="B255" s="56" t="s">
        <v>1517</v>
      </c>
      <c r="C255" s="56" t="s">
        <v>1518</v>
      </c>
      <c r="D255" s="56" t="s">
        <v>1519</v>
      </c>
      <c r="E255" s="56" t="s">
        <v>1520</v>
      </c>
      <c r="F255" s="56" t="s">
        <v>1521</v>
      </c>
      <c r="G255" s="57" t="s">
        <v>1522</v>
      </c>
    </row>
    <row r="256">
      <c r="A256" s="58" t="s">
        <v>1481</v>
      </c>
      <c r="B256" s="58" t="s">
        <v>1523</v>
      </c>
      <c r="C256" s="58" t="s">
        <v>1524</v>
      </c>
      <c r="D256" s="58" t="s">
        <v>1525</v>
      </c>
      <c r="E256" s="58" t="s">
        <v>1526</v>
      </c>
      <c r="F256" s="58" t="s">
        <v>1527</v>
      </c>
      <c r="G256" s="59" t="s">
        <v>1528</v>
      </c>
    </row>
    <row r="257">
      <c r="A257" s="56" t="s">
        <v>1481</v>
      </c>
      <c r="B257" s="56" t="s">
        <v>1529</v>
      </c>
      <c r="C257" s="56" t="s">
        <v>1530</v>
      </c>
      <c r="D257" s="56" t="s">
        <v>1531</v>
      </c>
      <c r="E257" s="56" t="s">
        <v>1532</v>
      </c>
      <c r="F257" s="56" t="s">
        <v>1533</v>
      </c>
      <c r="G257" s="57" t="s">
        <v>1534</v>
      </c>
    </row>
    <row r="258">
      <c r="A258" s="58" t="s">
        <v>1481</v>
      </c>
      <c r="B258" s="58" t="s">
        <v>1535</v>
      </c>
      <c r="C258" s="58" t="s">
        <v>1536</v>
      </c>
      <c r="D258" s="58" t="s">
        <v>1537</v>
      </c>
      <c r="E258" s="58" t="s">
        <v>1538</v>
      </c>
      <c r="F258" s="62"/>
      <c r="G258" s="59" t="s">
        <v>1539</v>
      </c>
    </row>
    <row r="259">
      <c r="A259" s="56" t="s">
        <v>1481</v>
      </c>
      <c r="B259" s="56" t="s">
        <v>1540</v>
      </c>
      <c r="C259" s="56" t="s">
        <v>1541</v>
      </c>
      <c r="D259" s="56" t="s">
        <v>1542</v>
      </c>
      <c r="E259" s="56" t="s">
        <v>1543</v>
      </c>
      <c r="F259" s="56" t="s">
        <v>1544</v>
      </c>
      <c r="G259" s="61" t="s">
        <v>1545</v>
      </c>
    </row>
    <row r="260">
      <c r="A260" s="58" t="s">
        <v>1481</v>
      </c>
      <c r="B260" s="58" t="s">
        <v>1546</v>
      </c>
      <c r="C260" s="58" t="s">
        <v>1547</v>
      </c>
      <c r="D260" s="58" t="s">
        <v>1548</v>
      </c>
      <c r="E260" s="58" t="s">
        <v>1549</v>
      </c>
      <c r="F260" s="58" t="s">
        <v>1550</v>
      </c>
      <c r="G260" s="59" t="s">
        <v>1551</v>
      </c>
    </row>
    <row r="261">
      <c r="A261" s="56" t="s">
        <v>1481</v>
      </c>
      <c r="B261" s="56" t="s">
        <v>1552</v>
      </c>
      <c r="C261" s="56" t="s">
        <v>1553</v>
      </c>
      <c r="D261" s="56" t="s">
        <v>1554</v>
      </c>
      <c r="E261" s="56" t="s">
        <v>1555</v>
      </c>
      <c r="F261" s="56" t="s">
        <v>1556</v>
      </c>
      <c r="G261" s="57" t="s">
        <v>1557</v>
      </c>
    </row>
    <row r="262">
      <c r="A262" s="58" t="s">
        <v>1481</v>
      </c>
      <c r="B262" s="58" t="s">
        <v>1558</v>
      </c>
      <c r="C262" s="58" t="s">
        <v>1559</v>
      </c>
      <c r="D262" s="58" t="s">
        <v>1560</v>
      </c>
      <c r="E262" s="58" t="s">
        <v>1561</v>
      </c>
      <c r="F262" s="58" t="s">
        <v>1562</v>
      </c>
      <c r="G262" s="59" t="s">
        <v>1563</v>
      </c>
    </row>
    <row r="263">
      <c r="A263" s="56" t="s">
        <v>1481</v>
      </c>
      <c r="B263" s="56" t="s">
        <v>1564</v>
      </c>
      <c r="C263" s="56" t="s">
        <v>1565</v>
      </c>
      <c r="D263" s="56" t="s">
        <v>1566</v>
      </c>
      <c r="E263" s="56" t="s">
        <v>1567</v>
      </c>
      <c r="F263" s="56" t="s">
        <v>1568</v>
      </c>
      <c r="G263" s="61" t="s">
        <v>1569</v>
      </c>
    </row>
    <row r="264">
      <c r="A264" s="58" t="s">
        <v>1481</v>
      </c>
      <c r="B264" s="58" t="s">
        <v>1570</v>
      </c>
      <c r="C264" s="58" t="s">
        <v>1571</v>
      </c>
      <c r="D264" s="58" t="s">
        <v>1572</v>
      </c>
      <c r="E264" s="58" t="s">
        <v>1573</v>
      </c>
      <c r="F264" s="58" t="s">
        <v>1574</v>
      </c>
      <c r="G264" s="59" t="s">
        <v>1575</v>
      </c>
    </row>
    <row r="265">
      <c r="A265" s="56" t="s">
        <v>1481</v>
      </c>
      <c r="B265" s="56" t="s">
        <v>1576</v>
      </c>
      <c r="C265" s="56" t="s">
        <v>1577</v>
      </c>
      <c r="D265" s="56" t="s">
        <v>1578</v>
      </c>
      <c r="E265" s="56" t="s">
        <v>1579</v>
      </c>
      <c r="F265" s="56" t="s">
        <v>1580</v>
      </c>
      <c r="G265" s="57" t="s">
        <v>1581</v>
      </c>
    </row>
    <row r="266">
      <c r="A266" s="58" t="s">
        <v>1481</v>
      </c>
      <c r="B266" s="58" t="s">
        <v>1582</v>
      </c>
      <c r="C266" s="58" t="s">
        <v>1583</v>
      </c>
      <c r="D266" s="58" t="s">
        <v>1584</v>
      </c>
      <c r="E266" s="58" t="s">
        <v>1585</v>
      </c>
      <c r="F266" s="58" t="s">
        <v>1586</v>
      </c>
      <c r="G266" s="59" t="s">
        <v>1587</v>
      </c>
    </row>
    <row r="267">
      <c r="A267" s="56" t="s">
        <v>1481</v>
      </c>
      <c r="B267" s="56" t="s">
        <v>1588</v>
      </c>
      <c r="C267" s="56" t="s">
        <v>1589</v>
      </c>
      <c r="D267" s="56" t="s">
        <v>1590</v>
      </c>
      <c r="E267" s="56" t="s">
        <v>1591</v>
      </c>
      <c r="F267" s="56" t="s">
        <v>1592</v>
      </c>
      <c r="G267" s="57" t="s">
        <v>1593</v>
      </c>
    </row>
    <row r="268">
      <c r="A268" s="58" t="s">
        <v>1481</v>
      </c>
      <c r="B268" s="58" t="s">
        <v>1594</v>
      </c>
      <c r="C268" s="58" t="s">
        <v>1595</v>
      </c>
      <c r="D268" s="58" t="s">
        <v>1596</v>
      </c>
      <c r="E268" s="58" t="s">
        <v>1597</v>
      </c>
      <c r="F268" s="58" t="s">
        <v>1598</v>
      </c>
      <c r="G268" s="59" t="s">
        <v>1599</v>
      </c>
    </row>
    <row r="269">
      <c r="A269" s="63" t="s">
        <v>1600</v>
      </c>
      <c r="B269" s="63" t="s">
        <v>1601</v>
      </c>
      <c r="C269" s="63" t="s">
        <v>1602</v>
      </c>
      <c r="D269" s="63" t="s">
        <v>1603</v>
      </c>
      <c r="E269" s="63" t="s">
        <v>1604</v>
      </c>
      <c r="F269" s="63" t="s">
        <v>1605</v>
      </c>
      <c r="G269" s="64" t="s">
        <v>1606</v>
      </c>
    </row>
    <row r="270">
      <c r="A270" s="65" t="s">
        <v>1600</v>
      </c>
      <c r="B270" s="65" t="s">
        <v>1607</v>
      </c>
      <c r="C270" s="65" t="s">
        <v>1608</v>
      </c>
      <c r="D270" s="65" t="s">
        <v>1609</v>
      </c>
      <c r="E270" s="65" t="s">
        <v>1610</v>
      </c>
      <c r="F270" s="65" t="s">
        <v>1611</v>
      </c>
      <c r="G270" s="66" t="s">
        <v>1612</v>
      </c>
    </row>
    <row r="271">
      <c r="A271" s="63" t="s">
        <v>1600</v>
      </c>
      <c r="B271" s="63" t="s">
        <v>1613</v>
      </c>
      <c r="C271" s="63" t="s">
        <v>1614</v>
      </c>
      <c r="D271" s="63" t="s">
        <v>1615</v>
      </c>
      <c r="E271" s="63" t="s">
        <v>1616</v>
      </c>
      <c r="F271" s="63" t="s">
        <v>1617</v>
      </c>
      <c r="G271" s="64" t="s">
        <v>1618</v>
      </c>
    </row>
    <row r="272">
      <c r="A272" s="65" t="s">
        <v>1600</v>
      </c>
      <c r="B272" s="65" t="s">
        <v>1619</v>
      </c>
      <c r="C272" s="65" t="s">
        <v>1620</v>
      </c>
      <c r="D272" s="65" t="s">
        <v>1621</v>
      </c>
      <c r="E272" s="65" t="s">
        <v>1622</v>
      </c>
      <c r="F272" s="65" t="s">
        <v>1623</v>
      </c>
      <c r="G272" s="66" t="s">
        <v>1624</v>
      </c>
    </row>
    <row r="273">
      <c r="A273" s="63" t="s">
        <v>1600</v>
      </c>
      <c r="B273" s="63" t="s">
        <v>1625</v>
      </c>
      <c r="C273" s="63" t="s">
        <v>1626</v>
      </c>
      <c r="D273" s="63" t="s">
        <v>1627</v>
      </c>
      <c r="E273" s="63" t="s">
        <v>1628</v>
      </c>
      <c r="F273" s="63" t="s">
        <v>1629</v>
      </c>
      <c r="G273" s="64" t="s">
        <v>1630</v>
      </c>
    </row>
    <row r="274">
      <c r="A274" s="65" t="s">
        <v>1600</v>
      </c>
      <c r="B274" s="65" t="s">
        <v>1631</v>
      </c>
      <c r="C274" s="65" t="s">
        <v>1632</v>
      </c>
      <c r="D274" s="65" t="s">
        <v>1633</v>
      </c>
      <c r="E274" s="65" t="s">
        <v>1634</v>
      </c>
      <c r="F274" s="65" t="s">
        <v>1635</v>
      </c>
      <c r="G274" s="66" t="s">
        <v>1636</v>
      </c>
    </row>
    <row r="275">
      <c r="A275" s="63" t="s">
        <v>1600</v>
      </c>
      <c r="B275" s="63" t="s">
        <v>1637</v>
      </c>
      <c r="C275" s="63" t="s">
        <v>1638</v>
      </c>
      <c r="D275" s="63" t="s">
        <v>1639</v>
      </c>
      <c r="E275" s="63" t="s">
        <v>1640</v>
      </c>
      <c r="F275" s="63" t="s">
        <v>1641</v>
      </c>
      <c r="G275" s="64" t="s">
        <v>1642</v>
      </c>
    </row>
    <row r="276">
      <c r="A276" s="65" t="s">
        <v>1600</v>
      </c>
      <c r="B276" s="65" t="s">
        <v>1643</v>
      </c>
      <c r="C276" s="65" t="s">
        <v>1644</v>
      </c>
      <c r="D276" s="65" t="s">
        <v>1645</v>
      </c>
      <c r="E276" s="65" t="s">
        <v>1646</v>
      </c>
      <c r="F276" s="65" t="s">
        <v>1647</v>
      </c>
      <c r="G276" s="66" t="s">
        <v>1648</v>
      </c>
    </row>
    <row r="277">
      <c r="A277" s="63" t="s">
        <v>1600</v>
      </c>
      <c r="B277" s="63" t="s">
        <v>1649</v>
      </c>
      <c r="C277" s="63" t="s">
        <v>1650</v>
      </c>
      <c r="D277" s="63" t="s">
        <v>1651</v>
      </c>
      <c r="E277" s="63" t="s">
        <v>1652</v>
      </c>
      <c r="F277" s="67"/>
      <c r="G277" s="64" t="s">
        <v>1653</v>
      </c>
    </row>
    <row r="278">
      <c r="A278" s="65" t="s">
        <v>1600</v>
      </c>
      <c r="B278" s="65" t="s">
        <v>1654</v>
      </c>
      <c r="C278" s="65" t="s">
        <v>1655</v>
      </c>
      <c r="D278" s="65" t="s">
        <v>1656</v>
      </c>
      <c r="E278" s="65" t="s">
        <v>1657</v>
      </c>
      <c r="F278" s="65" t="s">
        <v>1658</v>
      </c>
      <c r="G278" s="66" t="s">
        <v>1659</v>
      </c>
    </row>
    <row r="279">
      <c r="A279" s="63" t="s">
        <v>1600</v>
      </c>
      <c r="B279" s="63" t="s">
        <v>1660</v>
      </c>
      <c r="C279" s="63" t="s">
        <v>1661</v>
      </c>
      <c r="D279" s="63" t="s">
        <v>1662</v>
      </c>
      <c r="E279" s="63" t="s">
        <v>1663</v>
      </c>
      <c r="F279" s="63" t="s">
        <v>1664</v>
      </c>
      <c r="G279" s="64" t="s">
        <v>1665</v>
      </c>
    </row>
    <row r="280">
      <c r="A280" s="65" t="s">
        <v>1600</v>
      </c>
      <c r="B280" s="65" t="s">
        <v>1666</v>
      </c>
      <c r="C280" s="65" t="s">
        <v>1667</v>
      </c>
      <c r="D280" s="65" t="s">
        <v>1668</v>
      </c>
      <c r="E280" s="65" t="s">
        <v>1669</v>
      </c>
      <c r="F280" s="65" t="s">
        <v>1670</v>
      </c>
      <c r="G280" s="66" t="s">
        <v>1671</v>
      </c>
    </row>
    <row r="281">
      <c r="A281" s="63" t="s">
        <v>1600</v>
      </c>
      <c r="B281" s="63" t="s">
        <v>1672</v>
      </c>
      <c r="C281" s="63" t="s">
        <v>1673</v>
      </c>
      <c r="D281" s="63" t="s">
        <v>1674</v>
      </c>
      <c r="E281" s="63" t="s">
        <v>1675</v>
      </c>
      <c r="F281" s="63" t="s">
        <v>1676</v>
      </c>
      <c r="G281" s="64" t="s">
        <v>1677</v>
      </c>
    </row>
    <row r="282">
      <c r="A282" s="65" t="s">
        <v>1600</v>
      </c>
      <c r="B282" s="65" t="s">
        <v>1678</v>
      </c>
      <c r="C282" s="65" t="s">
        <v>1679</v>
      </c>
      <c r="D282" s="65" t="s">
        <v>1680</v>
      </c>
      <c r="E282" s="65" t="s">
        <v>1681</v>
      </c>
      <c r="F282" s="68"/>
      <c r="G282" s="66" t="s">
        <v>1682</v>
      </c>
    </row>
    <row r="283">
      <c r="A283" s="63" t="s">
        <v>1600</v>
      </c>
      <c r="B283" s="63" t="s">
        <v>1683</v>
      </c>
      <c r="C283" s="63" t="s">
        <v>1684</v>
      </c>
      <c r="D283" s="63" t="s">
        <v>1685</v>
      </c>
      <c r="E283" s="63" t="s">
        <v>1686</v>
      </c>
      <c r="F283" s="67"/>
      <c r="G283" s="64" t="s">
        <v>1687</v>
      </c>
    </row>
    <row r="284">
      <c r="A284" s="65" t="s">
        <v>1600</v>
      </c>
      <c r="B284" s="65" t="s">
        <v>1688</v>
      </c>
      <c r="C284" s="65" t="s">
        <v>1689</v>
      </c>
      <c r="D284" s="65" t="s">
        <v>1690</v>
      </c>
      <c r="E284" s="65" t="s">
        <v>1691</v>
      </c>
      <c r="F284" s="68"/>
      <c r="G284" s="66" t="s">
        <v>1692</v>
      </c>
    </row>
    <row r="285">
      <c r="A285" s="63" t="s">
        <v>1600</v>
      </c>
      <c r="B285" s="63" t="s">
        <v>1693</v>
      </c>
      <c r="C285" s="63" t="s">
        <v>1694</v>
      </c>
      <c r="D285" s="63" t="s">
        <v>1695</v>
      </c>
      <c r="E285" s="63" t="s">
        <v>1696</v>
      </c>
      <c r="F285" s="63" t="s">
        <v>1697</v>
      </c>
      <c r="G285" s="64" t="s">
        <v>1698</v>
      </c>
    </row>
    <row r="286">
      <c r="A286" s="65" t="s">
        <v>1600</v>
      </c>
      <c r="B286" s="65" t="s">
        <v>1227</v>
      </c>
      <c r="C286" s="65" t="s">
        <v>1699</v>
      </c>
      <c r="D286" s="65" t="s">
        <v>1700</v>
      </c>
      <c r="E286" s="65" t="s">
        <v>1701</v>
      </c>
      <c r="F286" s="65" t="s">
        <v>1702</v>
      </c>
      <c r="G286" s="66" t="s">
        <v>1703</v>
      </c>
    </row>
    <row r="287">
      <c r="A287" s="19" t="s">
        <v>1704</v>
      </c>
      <c r="B287" s="19" t="s">
        <v>1705</v>
      </c>
      <c r="C287" s="19" t="s">
        <v>1706</v>
      </c>
      <c r="D287" s="19" t="s">
        <v>1707</v>
      </c>
      <c r="E287" s="19" t="s">
        <v>1708</v>
      </c>
      <c r="F287" s="19" t="s">
        <v>1709</v>
      </c>
      <c r="G287" s="20" t="s">
        <v>1710</v>
      </c>
    </row>
    <row r="288">
      <c r="A288" s="21" t="s">
        <v>1704</v>
      </c>
      <c r="B288" s="21" t="s">
        <v>1711</v>
      </c>
      <c r="C288" s="21" t="s">
        <v>1712</v>
      </c>
      <c r="D288" s="21" t="s">
        <v>1713</v>
      </c>
      <c r="E288" s="21" t="s">
        <v>1714</v>
      </c>
      <c r="F288" s="69"/>
      <c r="G288" s="22" t="s">
        <v>1715</v>
      </c>
    </row>
    <row r="289">
      <c r="A289" s="19" t="s">
        <v>1704</v>
      </c>
      <c r="B289" s="19" t="s">
        <v>1716</v>
      </c>
      <c r="C289" s="19" t="s">
        <v>1717</v>
      </c>
      <c r="D289" s="19" t="s">
        <v>1718</v>
      </c>
      <c r="E289" s="19" t="s">
        <v>1719</v>
      </c>
      <c r="F289" s="19" t="s">
        <v>1720</v>
      </c>
      <c r="G289" s="20" t="s">
        <v>1721</v>
      </c>
    </row>
    <row r="290">
      <c r="A290" s="21" t="s">
        <v>1704</v>
      </c>
      <c r="B290" s="21" t="s">
        <v>1722</v>
      </c>
      <c r="C290" s="21" t="s">
        <v>1723</v>
      </c>
      <c r="D290" s="69"/>
      <c r="E290" s="21" t="s">
        <v>1724</v>
      </c>
      <c r="F290" s="21" t="s">
        <v>1725</v>
      </c>
      <c r="G290" s="22" t="s">
        <v>1726</v>
      </c>
    </row>
    <row r="291">
      <c r="A291" s="19" t="s">
        <v>1704</v>
      </c>
      <c r="B291" s="19" t="s">
        <v>1727</v>
      </c>
      <c r="C291" s="19" t="s">
        <v>1728</v>
      </c>
      <c r="D291" s="19" t="s">
        <v>1729</v>
      </c>
      <c r="E291" s="19" t="s">
        <v>1730</v>
      </c>
      <c r="F291" s="19" t="s">
        <v>1731</v>
      </c>
      <c r="G291" s="20" t="s">
        <v>1732</v>
      </c>
    </row>
    <row r="292">
      <c r="A292" s="21" t="s">
        <v>1704</v>
      </c>
      <c r="B292" s="21" t="s">
        <v>1733</v>
      </c>
      <c r="C292" s="21" t="s">
        <v>1734</v>
      </c>
      <c r="D292" s="21" t="s">
        <v>1735</v>
      </c>
      <c r="E292" s="21" t="s">
        <v>1736</v>
      </c>
      <c r="F292" s="21" t="s">
        <v>1737</v>
      </c>
      <c r="G292" s="22" t="s">
        <v>1738</v>
      </c>
    </row>
    <row r="293">
      <c r="A293" s="19" t="s">
        <v>1704</v>
      </c>
      <c r="B293" s="19" t="s">
        <v>1739</v>
      </c>
      <c r="C293" s="19" t="s">
        <v>1740</v>
      </c>
      <c r="D293" s="19" t="s">
        <v>1741</v>
      </c>
      <c r="E293" s="19" t="s">
        <v>1742</v>
      </c>
      <c r="F293" s="19" t="s">
        <v>1743</v>
      </c>
      <c r="G293" s="20" t="s">
        <v>1744</v>
      </c>
    </row>
    <row r="294">
      <c r="A294" s="21" t="s">
        <v>1704</v>
      </c>
      <c r="B294" s="21" t="s">
        <v>1745</v>
      </c>
      <c r="C294" s="21" t="s">
        <v>1746</v>
      </c>
      <c r="D294" s="21" t="s">
        <v>1747</v>
      </c>
      <c r="E294" s="21" t="s">
        <v>1748</v>
      </c>
      <c r="F294" s="21" t="s">
        <v>1749</v>
      </c>
      <c r="G294" s="22" t="s">
        <v>1750</v>
      </c>
    </row>
    <row r="295">
      <c r="A295" s="19" t="s">
        <v>1704</v>
      </c>
      <c r="B295" s="19" t="s">
        <v>1751</v>
      </c>
      <c r="C295" s="19" t="s">
        <v>1752</v>
      </c>
      <c r="D295" s="19" t="s">
        <v>1753</v>
      </c>
      <c r="E295" s="19" t="s">
        <v>1754</v>
      </c>
      <c r="F295" s="19" t="s">
        <v>1755</v>
      </c>
      <c r="G295" s="20" t="s">
        <v>1756</v>
      </c>
    </row>
    <row r="296">
      <c r="A296" s="70" t="s">
        <v>1757</v>
      </c>
      <c r="B296" s="70" t="s">
        <v>105</v>
      </c>
      <c r="C296" s="70" t="s">
        <v>1758</v>
      </c>
      <c r="D296" s="70" t="s">
        <v>1759</v>
      </c>
      <c r="E296" s="70" t="s">
        <v>1760</v>
      </c>
      <c r="F296" s="70" t="s">
        <v>1761</v>
      </c>
      <c r="G296" s="71" t="s">
        <v>1762</v>
      </c>
    </row>
    <row r="297">
      <c r="A297" s="21" t="s">
        <v>1757</v>
      </c>
      <c r="B297" s="21" t="s">
        <v>1763</v>
      </c>
      <c r="C297" s="21" t="s">
        <v>1764</v>
      </c>
      <c r="D297" s="21" t="s">
        <v>1765</v>
      </c>
      <c r="E297" s="21" t="s">
        <v>1766</v>
      </c>
      <c r="F297" s="21" t="s">
        <v>1767</v>
      </c>
      <c r="G297" s="22" t="s">
        <v>1768</v>
      </c>
    </row>
    <row r="298">
      <c r="A298" s="70" t="s">
        <v>1757</v>
      </c>
      <c r="B298" s="70" t="s">
        <v>1769</v>
      </c>
      <c r="C298" s="70" t="s">
        <v>1770</v>
      </c>
      <c r="D298" s="70" t="s">
        <v>1771</v>
      </c>
      <c r="E298" s="70" t="s">
        <v>1772</v>
      </c>
      <c r="F298" s="70" t="s">
        <v>1773</v>
      </c>
      <c r="G298" s="71" t="s">
        <v>1774</v>
      </c>
    </row>
    <row r="299">
      <c r="A299" s="21" t="s">
        <v>1757</v>
      </c>
      <c r="B299" s="21" t="s">
        <v>1775</v>
      </c>
      <c r="C299" s="21" t="s">
        <v>1776</v>
      </c>
      <c r="D299" s="21" t="s">
        <v>1777</v>
      </c>
      <c r="E299" s="21" t="s">
        <v>1778</v>
      </c>
      <c r="F299" s="21" t="s">
        <v>1779</v>
      </c>
      <c r="G299" s="22" t="s">
        <v>1780</v>
      </c>
    </row>
    <row r="300">
      <c r="A300" s="70" t="s">
        <v>1757</v>
      </c>
      <c r="B300" s="70" t="s">
        <v>1781</v>
      </c>
      <c r="C300" s="70" t="s">
        <v>1782</v>
      </c>
      <c r="D300" s="70" t="s">
        <v>1783</v>
      </c>
      <c r="E300" s="70" t="s">
        <v>1784</v>
      </c>
      <c r="F300" s="70" t="s">
        <v>1785</v>
      </c>
      <c r="G300" s="71" t="s">
        <v>1786</v>
      </c>
    </row>
    <row r="301">
      <c r="A301" s="21" t="s">
        <v>1757</v>
      </c>
      <c r="B301" s="21" t="s">
        <v>1787</v>
      </c>
      <c r="C301" s="21" t="s">
        <v>1788</v>
      </c>
      <c r="D301" s="21" t="s">
        <v>1789</v>
      </c>
      <c r="E301" s="21" t="s">
        <v>1790</v>
      </c>
      <c r="F301" s="21" t="s">
        <v>1791</v>
      </c>
      <c r="G301" s="22" t="s">
        <v>1792</v>
      </c>
    </row>
    <row r="302">
      <c r="A302" s="70" t="s">
        <v>1757</v>
      </c>
      <c r="B302" s="70" t="s">
        <v>1793</v>
      </c>
      <c r="C302" s="70" t="s">
        <v>1794</v>
      </c>
      <c r="D302" s="70" t="s">
        <v>1795</v>
      </c>
      <c r="E302" s="70" t="s">
        <v>1796</v>
      </c>
      <c r="F302" s="70" t="s">
        <v>1797</v>
      </c>
      <c r="G302" s="71" t="s">
        <v>1798</v>
      </c>
    </row>
    <row r="303">
      <c r="A303" s="21" t="s">
        <v>1757</v>
      </c>
      <c r="B303" s="21" t="s">
        <v>1799</v>
      </c>
      <c r="C303" s="21" t="s">
        <v>1800</v>
      </c>
      <c r="D303" s="21" t="s">
        <v>1801</v>
      </c>
      <c r="E303" s="21" t="s">
        <v>1802</v>
      </c>
      <c r="F303" s="21" t="s">
        <v>1803</v>
      </c>
      <c r="G303" s="22" t="s">
        <v>1804</v>
      </c>
    </row>
    <row r="304">
      <c r="A304" s="70" t="s">
        <v>1757</v>
      </c>
      <c r="B304" s="70" t="s">
        <v>1805</v>
      </c>
      <c r="C304" s="70" t="s">
        <v>1806</v>
      </c>
      <c r="D304" s="70" t="s">
        <v>1807</v>
      </c>
      <c r="E304" s="70" t="s">
        <v>1808</v>
      </c>
      <c r="F304" s="70" t="s">
        <v>1809</v>
      </c>
      <c r="G304" s="71" t="s">
        <v>1810</v>
      </c>
    </row>
    <row r="305">
      <c r="A305" s="21" t="s">
        <v>1757</v>
      </c>
      <c r="B305" s="21" t="s">
        <v>1811</v>
      </c>
      <c r="C305" s="21" t="s">
        <v>1812</v>
      </c>
      <c r="D305" s="21" t="s">
        <v>1813</v>
      </c>
      <c r="E305" s="21" t="s">
        <v>1814</v>
      </c>
      <c r="F305" s="21" t="s">
        <v>1815</v>
      </c>
      <c r="G305" s="22" t="s">
        <v>1816</v>
      </c>
    </row>
    <row r="306">
      <c r="A306" s="70" t="s">
        <v>1757</v>
      </c>
      <c r="B306" s="70" t="s">
        <v>1817</v>
      </c>
      <c r="C306" s="70" t="s">
        <v>1818</v>
      </c>
      <c r="D306" s="70" t="s">
        <v>1819</v>
      </c>
      <c r="E306" s="70" t="s">
        <v>1820</v>
      </c>
      <c r="F306" s="70" t="s">
        <v>1821</v>
      </c>
      <c r="G306" s="71" t="s">
        <v>1822</v>
      </c>
    </row>
    <row r="307">
      <c r="A307" s="72" t="s">
        <v>1823</v>
      </c>
      <c r="B307" s="72" t="s">
        <v>105</v>
      </c>
      <c r="C307" s="72" t="s">
        <v>1824</v>
      </c>
      <c r="D307" s="72" t="s">
        <v>1825</v>
      </c>
      <c r="E307" s="72" t="s">
        <v>1826</v>
      </c>
      <c r="F307" s="72" t="s">
        <v>1827</v>
      </c>
      <c r="G307" s="73" t="s">
        <v>1828</v>
      </c>
    </row>
    <row r="308">
      <c r="A308" s="74" t="s">
        <v>1823</v>
      </c>
      <c r="B308" s="74" t="s">
        <v>1829</v>
      </c>
      <c r="C308" s="74" t="s">
        <v>1830</v>
      </c>
      <c r="D308" s="74" t="s">
        <v>1831</v>
      </c>
      <c r="E308" s="74" t="s">
        <v>1832</v>
      </c>
      <c r="F308" s="74" t="s">
        <v>1833</v>
      </c>
      <c r="G308" s="75" t="s">
        <v>1834</v>
      </c>
    </row>
    <row r="309">
      <c r="A309" s="72" t="s">
        <v>1823</v>
      </c>
      <c r="B309" s="72" t="s">
        <v>1835</v>
      </c>
      <c r="C309" s="72" t="s">
        <v>1836</v>
      </c>
      <c r="D309" s="76"/>
      <c r="E309" s="72" t="s">
        <v>1837</v>
      </c>
      <c r="F309" s="72" t="s">
        <v>1838</v>
      </c>
      <c r="G309" s="73" t="s">
        <v>1839</v>
      </c>
    </row>
    <row r="310">
      <c r="A310" s="74" t="s">
        <v>1823</v>
      </c>
      <c r="B310" s="74" t="s">
        <v>1840</v>
      </c>
      <c r="C310" s="74" t="s">
        <v>1841</v>
      </c>
      <c r="D310" s="74" t="s">
        <v>1842</v>
      </c>
      <c r="E310" s="74" t="s">
        <v>1843</v>
      </c>
      <c r="F310" s="74" t="s">
        <v>1844</v>
      </c>
      <c r="G310" s="75" t="s">
        <v>1845</v>
      </c>
    </row>
    <row r="311">
      <c r="A311" s="72" t="s">
        <v>1823</v>
      </c>
      <c r="B311" s="72" t="s">
        <v>1846</v>
      </c>
      <c r="C311" s="72" t="s">
        <v>1847</v>
      </c>
      <c r="D311" s="72" t="s">
        <v>1848</v>
      </c>
      <c r="E311" s="72" t="s">
        <v>1849</v>
      </c>
      <c r="F311" s="72" t="s">
        <v>1850</v>
      </c>
      <c r="G311" s="73" t="s">
        <v>1851</v>
      </c>
    </row>
    <row r="312">
      <c r="A312" s="74" t="s">
        <v>1823</v>
      </c>
      <c r="B312" s="74" t="s">
        <v>1852</v>
      </c>
      <c r="C312" s="74" t="s">
        <v>1853</v>
      </c>
      <c r="D312" s="74" t="s">
        <v>1854</v>
      </c>
      <c r="E312" s="74" t="s">
        <v>1855</v>
      </c>
      <c r="F312" s="74" t="s">
        <v>1856</v>
      </c>
      <c r="G312" s="75" t="s">
        <v>1857</v>
      </c>
    </row>
    <row r="313">
      <c r="A313" s="72" t="s">
        <v>1823</v>
      </c>
      <c r="B313" s="72" t="s">
        <v>1858</v>
      </c>
      <c r="C313" s="72" t="s">
        <v>1859</v>
      </c>
      <c r="D313" s="72" t="s">
        <v>1860</v>
      </c>
      <c r="E313" s="72" t="s">
        <v>1861</v>
      </c>
      <c r="F313" s="72" t="s">
        <v>1862</v>
      </c>
      <c r="G313" s="73" t="s">
        <v>1863</v>
      </c>
    </row>
    <row r="314">
      <c r="A314" s="74" t="s">
        <v>1823</v>
      </c>
      <c r="B314" s="74" t="s">
        <v>1864</v>
      </c>
      <c r="C314" s="74" t="s">
        <v>1865</v>
      </c>
      <c r="D314" s="77"/>
      <c r="E314" s="74" t="s">
        <v>1866</v>
      </c>
      <c r="F314" s="74" t="s">
        <v>1867</v>
      </c>
      <c r="G314" s="75" t="s">
        <v>1868</v>
      </c>
    </row>
    <row r="315">
      <c r="A315" s="72" t="s">
        <v>1823</v>
      </c>
      <c r="B315" s="72" t="s">
        <v>1869</v>
      </c>
      <c r="C315" s="72" t="s">
        <v>1870</v>
      </c>
      <c r="D315" s="72" t="s">
        <v>1871</v>
      </c>
      <c r="E315" s="72" t="s">
        <v>1872</v>
      </c>
      <c r="F315" s="72" t="s">
        <v>1873</v>
      </c>
      <c r="G315" s="73" t="s">
        <v>1874</v>
      </c>
    </row>
    <row r="316">
      <c r="A316" s="78" t="s">
        <v>1875</v>
      </c>
      <c r="B316" s="78" t="s">
        <v>1876</v>
      </c>
      <c r="C316" s="78" t="s">
        <v>1877</v>
      </c>
      <c r="D316" s="78" t="s">
        <v>1878</v>
      </c>
      <c r="E316" s="79"/>
      <c r="F316" s="78" t="s">
        <v>1879</v>
      </c>
      <c r="G316" s="80" t="s">
        <v>1880</v>
      </c>
    </row>
    <row r="317">
      <c r="A317" s="81" t="s">
        <v>1875</v>
      </c>
      <c r="B317" s="81" t="s">
        <v>1881</v>
      </c>
      <c r="C317" s="81" t="s">
        <v>1882</v>
      </c>
      <c r="D317" s="81" t="s">
        <v>1883</v>
      </c>
      <c r="E317" s="81" t="s">
        <v>1884</v>
      </c>
      <c r="F317" s="81" t="s">
        <v>1885</v>
      </c>
      <c r="G317" s="82" t="s">
        <v>1886</v>
      </c>
    </row>
    <row r="318">
      <c r="A318" s="78" t="s">
        <v>1875</v>
      </c>
      <c r="B318" s="78" t="s">
        <v>1887</v>
      </c>
      <c r="C318" s="78" t="s">
        <v>1888</v>
      </c>
      <c r="D318" s="78" t="s">
        <v>1889</v>
      </c>
      <c r="E318" s="78" t="s">
        <v>1890</v>
      </c>
      <c r="F318" s="78" t="s">
        <v>1891</v>
      </c>
      <c r="G318" s="80" t="s">
        <v>1892</v>
      </c>
    </row>
    <row r="319">
      <c r="A319" s="81" t="s">
        <v>1875</v>
      </c>
      <c r="B319" s="81" t="s">
        <v>1893</v>
      </c>
      <c r="C319" s="81" t="s">
        <v>1894</v>
      </c>
      <c r="D319" s="83"/>
      <c r="E319" s="81" t="s">
        <v>1895</v>
      </c>
      <c r="F319" s="81" t="s">
        <v>1896</v>
      </c>
      <c r="G319" s="82" t="s">
        <v>1897</v>
      </c>
    </row>
    <row r="320">
      <c r="A320" s="78" t="s">
        <v>1875</v>
      </c>
      <c r="B320" s="78" t="s">
        <v>1898</v>
      </c>
      <c r="C320" s="78" t="s">
        <v>1899</v>
      </c>
      <c r="D320" s="78" t="s">
        <v>1900</v>
      </c>
      <c r="E320" s="78" t="s">
        <v>1901</v>
      </c>
      <c r="F320" s="78" t="s">
        <v>1902</v>
      </c>
      <c r="G320" s="80" t="s">
        <v>1903</v>
      </c>
    </row>
    <row r="321">
      <c r="A321" s="81" t="s">
        <v>1875</v>
      </c>
      <c r="B321" s="81" t="s">
        <v>1904</v>
      </c>
      <c r="C321" s="81" t="s">
        <v>1905</v>
      </c>
      <c r="D321" s="81" t="s">
        <v>1906</v>
      </c>
      <c r="E321" s="81" t="s">
        <v>1907</v>
      </c>
      <c r="F321" s="81" t="s">
        <v>1908</v>
      </c>
      <c r="G321" s="82" t="s">
        <v>1909</v>
      </c>
    </row>
    <row r="322">
      <c r="A322" s="78" t="s">
        <v>1875</v>
      </c>
      <c r="B322" s="78" t="s">
        <v>1910</v>
      </c>
      <c r="C322" s="78" t="s">
        <v>1911</v>
      </c>
      <c r="D322" s="78" t="s">
        <v>1912</v>
      </c>
      <c r="E322" s="78" t="s">
        <v>1913</v>
      </c>
      <c r="F322" s="78" t="s">
        <v>1914</v>
      </c>
      <c r="G322" s="80" t="s">
        <v>1915</v>
      </c>
    </row>
    <row r="323">
      <c r="A323" s="81" t="s">
        <v>1875</v>
      </c>
      <c r="B323" s="81" t="s">
        <v>1916</v>
      </c>
      <c r="C323" s="81" t="s">
        <v>1917</v>
      </c>
      <c r="D323" s="81" t="s">
        <v>1918</v>
      </c>
      <c r="E323" s="81" t="s">
        <v>1919</v>
      </c>
      <c r="F323" s="81" t="s">
        <v>1920</v>
      </c>
      <c r="G323" s="82" t="s">
        <v>1921</v>
      </c>
    </row>
    <row r="324">
      <c r="A324" s="78" t="s">
        <v>1875</v>
      </c>
      <c r="B324" s="78" t="s">
        <v>1922</v>
      </c>
      <c r="C324" s="78" t="s">
        <v>1923</v>
      </c>
      <c r="D324" s="78" t="s">
        <v>1924</v>
      </c>
      <c r="E324" s="78" t="s">
        <v>1925</v>
      </c>
      <c r="F324" s="78" t="s">
        <v>1926</v>
      </c>
      <c r="G324" s="80" t="s">
        <v>1927</v>
      </c>
    </row>
    <row r="325">
      <c r="A325" s="81" t="s">
        <v>1875</v>
      </c>
      <c r="B325" s="81" t="s">
        <v>1928</v>
      </c>
      <c r="C325" s="81" t="s">
        <v>1929</v>
      </c>
      <c r="D325" s="81" t="s">
        <v>1930</v>
      </c>
      <c r="E325" s="81" t="s">
        <v>1931</v>
      </c>
      <c r="F325" s="81" t="s">
        <v>1932</v>
      </c>
      <c r="G325" s="82" t="s">
        <v>1933</v>
      </c>
    </row>
    <row r="326">
      <c r="A326" s="78" t="s">
        <v>1875</v>
      </c>
      <c r="B326" s="78" t="s">
        <v>1934</v>
      </c>
      <c r="C326" s="78" t="s">
        <v>1935</v>
      </c>
      <c r="D326" s="78" t="s">
        <v>1936</v>
      </c>
      <c r="E326" s="78" t="s">
        <v>1937</v>
      </c>
      <c r="F326" s="78" t="s">
        <v>1938</v>
      </c>
      <c r="G326" s="80" t="s">
        <v>1939</v>
      </c>
    </row>
    <row r="327">
      <c r="A327" s="81" t="s">
        <v>1875</v>
      </c>
      <c r="B327" s="81" t="s">
        <v>1940</v>
      </c>
      <c r="C327" s="81" t="s">
        <v>1941</v>
      </c>
      <c r="D327" s="81" t="s">
        <v>1942</v>
      </c>
      <c r="E327" s="83"/>
      <c r="F327" s="81" t="s">
        <v>1943</v>
      </c>
      <c r="G327" s="82" t="s">
        <v>1944</v>
      </c>
    </row>
    <row r="328">
      <c r="A328" s="78" t="s">
        <v>1875</v>
      </c>
      <c r="B328" s="78" t="s">
        <v>1945</v>
      </c>
      <c r="C328" s="78" t="s">
        <v>1946</v>
      </c>
      <c r="D328" s="78" t="s">
        <v>1947</v>
      </c>
      <c r="E328" s="78" t="s">
        <v>1948</v>
      </c>
      <c r="F328" s="78" t="s">
        <v>1949</v>
      </c>
      <c r="G328" s="80" t="s">
        <v>1950</v>
      </c>
    </row>
    <row r="329">
      <c r="A329" s="81" t="s">
        <v>1875</v>
      </c>
      <c r="B329" s="81" t="s">
        <v>1951</v>
      </c>
      <c r="C329" s="81" t="s">
        <v>1952</v>
      </c>
      <c r="D329" s="83"/>
      <c r="E329" s="81" t="s">
        <v>1953</v>
      </c>
      <c r="F329" s="81" t="s">
        <v>1954</v>
      </c>
      <c r="G329" s="82" t="s">
        <v>1955</v>
      </c>
    </row>
    <row r="330">
      <c r="A330" s="78" t="s">
        <v>1875</v>
      </c>
      <c r="B330" s="78" t="s">
        <v>1956</v>
      </c>
      <c r="C330" s="78" t="s">
        <v>1957</v>
      </c>
      <c r="D330" s="78" t="s">
        <v>1958</v>
      </c>
      <c r="E330" s="78" t="s">
        <v>1959</v>
      </c>
      <c r="F330" s="78" t="s">
        <v>1960</v>
      </c>
      <c r="G330" s="80" t="s">
        <v>1961</v>
      </c>
    </row>
    <row r="331">
      <c r="A331" s="81" t="s">
        <v>1875</v>
      </c>
      <c r="B331" s="81" t="s">
        <v>1962</v>
      </c>
      <c r="C331" s="81" t="s">
        <v>1963</v>
      </c>
      <c r="D331" s="81" t="s">
        <v>1964</v>
      </c>
      <c r="E331" s="81" t="s">
        <v>1965</v>
      </c>
      <c r="F331" s="81" t="s">
        <v>1966</v>
      </c>
      <c r="G331" s="82" t="s">
        <v>1967</v>
      </c>
    </row>
    <row r="332">
      <c r="A332" s="78" t="s">
        <v>1875</v>
      </c>
      <c r="B332" s="78" t="s">
        <v>1968</v>
      </c>
      <c r="C332" s="78" t="s">
        <v>1969</v>
      </c>
      <c r="D332" s="79"/>
      <c r="E332" s="78" t="s">
        <v>1970</v>
      </c>
      <c r="F332" s="78" t="s">
        <v>1971</v>
      </c>
      <c r="G332" s="80" t="s">
        <v>1972</v>
      </c>
    </row>
    <row r="333">
      <c r="A333" s="81" t="s">
        <v>1875</v>
      </c>
      <c r="B333" s="81" t="s">
        <v>1973</v>
      </c>
      <c r="C333" s="81" t="s">
        <v>1974</v>
      </c>
      <c r="D333" s="81" t="s">
        <v>1975</v>
      </c>
      <c r="E333" s="81" t="s">
        <v>1976</v>
      </c>
      <c r="F333" s="81" t="s">
        <v>1977</v>
      </c>
      <c r="G333" s="82" t="s">
        <v>1978</v>
      </c>
    </row>
    <row r="334">
      <c r="A334" s="78" t="s">
        <v>1875</v>
      </c>
      <c r="B334" s="78" t="s">
        <v>1979</v>
      </c>
      <c r="C334" s="78" t="s">
        <v>1980</v>
      </c>
      <c r="D334" s="78" t="s">
        <v>1981</v>
      </c>
      <c r="E334" s="78" t="s">
        <v>1982</v>
      </c>
      <c r="F334" s="78" t="s">
        <v>1983</v>
      </c>
      <c r="G334" s="80" t="s">
        <v>1984</v>
      </c>
    </row>
    <row r="335">
      <c r="A335" s="81" t="s">
        <v>1875</v>
      </c>
      <c r="B335" s="81" t="s">
        <v>1985</v>
      </c>
      <c r="C335" s="81" t="s">
        <v>1986</v>
      </c>
      <c r="D335" s="81" t="s">
        <v>1987</v>
      </c>
      <c r="E335" s="81" t="s">
        <v>1988</v>
      </c>
      <c r="F335" s="81" t="s">
        <v>1989</v>
      </c>
      <c r="G335" s="82" t="s">
        <v>1990</v>
      </c>
    </row>
    <row r="336">
      <c r="A336" s="84" t="s">
        <v>1991</v>
      </c>
      <c r="B336" s="84" t="s">
        <v>1992</v>
      </c>
      <c r="C336" s="84" t="s">
        <v>1993</v>
      </c>
      <c r="D336" s="84" t="s">
        <v>1994</v>
      </c>
      <c r="E336" s="84" t="s">
        <v>1995</v>
      </c>
      <c r="F336" s="84" t="s">
        <v>1996</v>
      </c>
      <c r="G336" s="85" t="s">
        <v>1997</v>
      </c>
    </row>
    <row r="337">
      <c r="A337" s="74" t="s">
        <v>1991</v>
      </c>
      <c r="B337" s="74" t="s">
        <v>1998</v>
      </c>
      <c r="C337" s="74" t="s">
        <v>1999</v>
      </c>
      <c r="D337" s="74" t="s">
        <v>2000</v>
      </c>
      <c r="E337" s="74" t="s">
        <v>2001</v>
      </c>
      <c r="F337" s="74" t="s">
        <v>2002</v>
      </c>
      <c r="G337" s="75" t="s">
        <v>2003</v>
      </c>
    </row>
    <row r="338">
      <c r="A338" s="84" t="s">
        <v>1991</v>
      </c>
      <c r="B338" s="84" t="s">
        <v>2004</v>
      </c>
      <c r="C338" s="84" t="s">
        <v>2005</v>
      </c>
      <c r="D338" s="84" t="s">
        <v>2006</v>
      </c>
      <c r="E338" s="84" t="s">
        <v>2007</v>
      </c>
      <c r="F338" s="86"/>
      <c r="G338" s="85" t="s">
        <v>2008</v>
      </c>
    </row>
    <row r="339">
      <c r="A339" s="74" t="s">
        <v>1991</v>
      </c>
      <c r="B339" s="74" t="s">
        <v>2009</v>
      </c>
      <c r="C339" s="74" t="s">
        <v>2010</v>
      </c>
      <c r="D339" s="74" t="s">
        <v>2011</v>
      </c>
      <c r="E339" s="74" t="s">
        <v>2012</v>
      </c>
      <c r="F339" s="77"/>
      <c r="G339" s="75" t="s">
        <v>2013</v>
      </c>
    </row>
    <row r="340">
      <c r="A340" s="84" t="s">
        <v>1991</v>
      </c>
      <c r="B340" s="84" t="s">
        <v>2014</v>
      </c>
      <c r="C340" s="84" t="s">
        <v>2015</v>
      </c>
      <c r="D340" s="84" t="s">
        <v>2016</v>
      </c>
      <c r="E340" s="84" t="s">
        <v>2017</v>
      </c>
      <c r="F340" s="84" t="s">
        <v>2018</v>
      </c>
      <c r="G340" s="85" t="s">
        <v>2019</v>
      </c>
    </row>
    <row r="341">
      <c r="A341" s="74" t="s">
        <v>1991</v>
      </c>
      <c r="B341" s="74" t="s">
        <v>2020</v>
      </c>
      <c r="C341" s="74" t="s">
        <v>2021</v>
      </c>
      <c r="D341" s="74" t="s">
        <v>2022</v>
      </c>
      <c r="E341" s="74" t="s">
        <v>2023</v>
      </c>
      <c r="F341" s="74" t="s">
        <v>2024</v>
      </c>
      <c r="G341" s="75" t="s">
        <v>2025</v>
      </c>
    </row>
    <row r="342">
      <c r="A342" s="84" t="s">
        <v>1991</v>
      </c>
      <c r="B342" s="84" t="s">
        <v>2026</v>
      </c>
      <c r="C342" s="84" t="s">
        <v>2027</v>
      </c>
      <c r="D342" s="84" t="s">
        <v>2028</v>
      </c>
      <c r="E342" s="84" t="s">
        <v>2029</v>
      </c>
      <c r="F342" s="84" t="s">
        <v>2030</v>
      </c>
      <c r="G342" s="85" t="s">
        <v>2031</v>
      </c>
    </row>
    <row r="343">
      <c r="A343" s="74" t="s">
        <v>1991</v>
      </c>
      <c r="B343" s="74" t="s">
        <v>2032</v>
      </c>
      <c r="C343" s="74" t="s">
        <v>2033</v>
      </c>
      <c r="D343" s="74" t="s">
        <v>2034</v>
      </c>
      <c r="E343" s="77" t="str">
        <f>+90(222) 591 25 20</f>
        <v>#ERROR!</v>
      </c>
      <c r="F343" s="74" t="s">
        <v>2035</v>
      </c>
      <c r="G343" s="75" t="s">
        <v>2036</v>
      </c>
    </row>
    <row r="344">
      <c r="A344" s="84" t="s">
        <v>1991</v>
      </c>
      <c r="B344" s="84" t="s">
        <v>2037</v>
      </c>
      <c r="C344" s="84" t="s">
        <v>2038</v>
      </c>
      <c r="D344" s="84" t="s">
        <v>2039</v>
      </c>
      <c r="E344" s="84" t="s">
        <v>2040</v>
      </c>
      <c r="F344" s="84" t="s">
        <v>2041</v>
      </c>
      <c r="G344" s="85" t="s">
        <v>2042</v>
      </c>
    </row>
    <row r="345">
      <c r="A345" s="74" t="s">
        <v>1991</v>
      </c>
      <c r="B345" s="74" t="s">
        <v>2043</v>
      </c>
      <c r="C345" s="74" t="s">
        <v>2044</v>
      </c>
      <c r="D345" s="74" t="s">
        <v>2045</v>
      </c>
      <c r="E345" s="77"/>
      <c r="F345" s="77"/>
      <c r="G345" s="75" t="s">
        <v>2046</v>
      </c>
    </row>
    <row r="346">
      <c r="A346" s="84" t="s">
        <v>1991</v>
      </c>
      <c r="B346" s="84" t="s">
        <v>2047</v>
      </c>
      <c r="C346" s="84" t="s">
        <v>2048</v>
      </c>
      <c r="D346" s="84" t="s">
        <v>2049</v>
      </c>
      <c r="E346" s="84" t="s">
        <v>2050</v>
      </c>
      <c r="F346" s="84" t="s">
        <v>2051</v>
      </c>
      <c r="G346" s="85" t="s">
        <v>2052</v>
      </c>
    </row>
    <row r="347">
      <c r="A347" s="74" t="s">
        <v>1991</v>
      </c>
      <c r="B347" s="74" t="s">
        <v>2053</v>
      </c>
      <c r="C347" s="74" t="s">
        <v>2054</v>
      </c>
      <c r="D347" s="74" t="s">
        <v>2055</v>
      </c>
      <c r="E347" s="77" t="str">
        <f>+90 222 661 21 48</f>
        <v>#ERROR!</v>
      </c>
      <c r="F347" s="74" t="s">
        <v>2056</v>
      </c>
      <c r="G347" s="75" t="s">
        <v>2057</v>
      </c>
    </row>
    <row r="348">
      <c r="A348" s="84" t="s">
        <v>1991</v>
      </c>
      <c r="B348" s="84" t="s">
        <v>2058</v>
      </c>
      <c r="C348" s="84" t="s">
        <v>2059</v>
      </c>
      <c r="D348" s="84" t="s">
        <v>2060</v>
      </c>
      <c r="E348" s="84" t="s">
        <v>2061</v>
      </c>
      <c r="F348" s="84" t="s">
        <v>2062</v>
      </c>
      <c r="G348" s="85" t="s">
        <v>2063</v>
      </c>
    </row>
    <row r="349">
      <c r="A349" s="74" t="s">
        <v>1991</v>
      </c>
      <c r="B349" s="74" t="s">
        <v>2064</v>
      </c>
      <c r="C349" s="74" t="s">
        <v>2065</v>
      </c>
      <c r="D349" s="74" t="s">
        <v>2066</v>
      </c>
      <c r="E349" s="74" t="s">
        <v>2067</v>
      </c>
      <c r="F349" s="74" t="s">
        <v>2068</v>
      </c>
      <c r="G349" s="75" t="s">
        <v>2069</v>
      </c>
    </row>
    <row r="350">
      <c r="A350" s="87" t="s">
        <v>2070</v>
      </c>
      <c r="B350" s="87" t="s">
        <v>2071</v>
      </c>
      <c r="C350" s="87" t="s">
        <v>2072</v>
      </c>
      <c r="D350" s="87" t="s">
        <v>2073</v>
      </c>
      <c r="E350" s="87" t="s">
        <v>2074</v>
      </c>
      <c r="F350" s="87" t="s">
        <v>2075</v>
      </c>
      <c r="G350" s="88" t="s">
        <v>2076</v>
      </c>
    </row>
    <row r="351">
      <c r="A351" s="89" t="s">
        <v>2070</v>
      </c>
      <c r="B351" s="89" t="s">
        <v>2077</v>
      </c>
      <c r="C351" s="89" t="s">
        <v>2078</v>
      </c>
      <c r="D351" s="89" t="s">
        <v>2079</v>
      </c>
      <c r="E351" s="89" t="s">
        <v>2080</v>
      </c>
      <c r="F351" s="89" t="s">
        <v>2081</v>
      </c>
      <c r="G351" s="90" t="s">
        <v>2082</v>
      </c>
    </row>
    <row r="352">
      <c r="A352" s="87" t="s">
        <v>2070</v>
      </c>
      <c r="B352" s="87" t="s">
        <v>2083</v>
      </c>
      <c r="C352" s="87" t="s">
        <v>2084</v>
      </c>
      <c r="D352" s="87" t="s">
        <v>2085</v>
      </c>
      <c r="E352" s="87" t="s">
        <v>2086</v>
      </c>
      <c r="F352" s="87" t="s">
        <v>2087</v>
      </c>
      <c r="G352" s="88" t="s">
        <v>2088</v>
      </c>
    </row>
    <row r="353">
      <c r="A353" s="89" t="s">
        <v>2070</v>
      </c>
      <c r="B353" s="89" t="s">
        <v>2089</v>
      </c>
      <c r="C353" s="89" t="s">
        <v>2090</v>
      </c>
      <c r="D353" s="89" t="s">
        <v>2091</v>
      </c>
      <c r="E353" s="89" t="s">
        <v>2092</v>
      </c>
      <c r="F353" s="89" t="s">
        <v>2093</v>
      </c>
      <c r="G353" s="90" t="s">
        <v>2094</v>
      </c>
    </row>
    <row r="354">
      <c r="A354" s="87" t="s">
        <v>2070</v>
      </c>
      <c r="B354" s="87" t="s">
        <v>2095</v>
      </c>
      <c r="C354" s="87" t="s">
        <v>2096</v>
      </c>
      <c r="D354" s="91"/>
      <c r="E354" s="87" t="s">
        <v>2097</v>
      </c>
      <c r="F354" s="87" t="s">
        <v>2098</v>
      </c>
      <c r="G354" s="88" t="s">
        <v>2099</v>
      </c>
    </row>
    <row r="355">
      <c r="A355" s="89" t="s">
        <v>2070</v>
      </c>
      <c r="B355" s="89" t="s">
        <v>2100</v>
      </c>
      <c r="C355" s="89" t="s">
        <v>2101</v>
      </c>
      <c r="D355" s="89" t="s">
        <v>2102</v>
      </c>
      <c r="E355" s="89" t="s">
        <v>2103</v>
      </c>
      <c r="F355" s="92"/>
      <c r="G355" s="90" t="s">
        <v>2104</v>
      </c>
    </row>
    <row r="356">
      <c r="A356" s="87" t="s">
        <v>2070</v>
      </c>
      <c r="B356" s="87" t="s">
        <v>2105</v>
      </c>
      <c r="C356" s="87" t="s">
        <v>2106</v>
      </c>
      <c r="D356" s="87" t="s">
        <v>2107</v>
      </c>
      <c r="E356" s="87" t="s">
        <v>2108</v>
      </c>
      <c r="F356" s="87" t="s">
        <v>2109</v>
      </c>
      <c r="G356" s="88" t="s">
        <v>2110</v>
      </c>
    </row>
    <row r="357">
      <c r="A357" s="89" t="s">
        <v>2070</v>
      </c>
      <c r="B357" s="89" t="s">
        <v>2111</v>
      </c>
      <c r="C357" s="89" t="s">
        <v>2112</v>
      </c>
      <c r="D357" s="89" t="s">
        <v>2113</v>
      </c>
      <c r="E357" s="89" t="s">
        <v>2114</v>
      </c>
      <c r="F357" s="89" t="s">
        <v>2115</v>
      </c>
      <c r="G357" s="90" t="s">
        <v>2116</v>
      </c>
    </row>
    <row r="358">
      <c r="A358" s="87" t="s">
        <v>2070</v>
      </c>
      <c r="B358" s="87" t="s">
        <v>2117</v>
      </c>
      <c r="C358" s="87" t="s">
        <v>2118</v>
      </c>
      <c r="D358" s="87" t="s">
        <v>2119</v>
      </c>
      <c r="E358" s="87" t="s">
        <v>2120</v>
      </c>
      <c r="F358" s="87" t="s">
        <v>2121</v>
      </c>
      <c r="G358" s="88" t="s">
        <v>2122</v>
      </c>
    </row>
    <row r="359">
      <c r="A359" s="93" t="s">
        <v>2123</v>
      </c>
      <c r="B359" s="93" t="s">
        <v>105</v>
      </c>
      <c r="C359" s="93" t="s">
        <v>2124</v>
      </c>
      <c r="D359" s="93" t="s">
        <v>2125</v>
      </c>
      <c r="E359" s="93" t="s">
        <v>2126</v>
      </c>
      <c r="F359" s="93" t="s">
        <v>2127</v>
      </c>
      <c r="G359" s="94" t="s">
        <v>2128</v>
      </c>
    </row>
    <row r="360">
      <c r="A360" s="74" t="s">
        <v>2123</v>
      </c>
      <c r="B360" s="74" t="s">
        <v>2129</v>
      </c>
      <c r="C360" s="74" t="s">
        <v>2130</v>
      </c>
      <c r="D360" s="74" t="s">
        <v>2131</v>
      </c>
      <c r="E360" s="74" t="s">
        <v>2132</v>
      </c>
      <c r="F360" s="74" t="s">
        <v>2133</v>
      </c>
      <c r="G360" s="75" t="s">
        <v>2134</v>
      </c>
    </row>
    <row r="361">
      <c r="A361" s="93" t="s">
        <v>2123</v>
      </c>
      <c r="B361" s="93" t="s">
        <v>2135</v>
      </c>
      <c r="C361" s="93" t="s">
        <v>2136</v>
      </c>
      <c r="D361" s="93" t="s">
        <v>2137</v>
      </c>
      <c r="E361" s="93" t="s">
        <v>2138</v>
      </c>
      <c r="F361" s="93" t="s">
        <v>2139</v>
      </c>
      <c r="G361" s="94" t="s">
        <v>2140</v>
      </c>
    </row>
    <row r="362">
      <c r="A362" s="74" t="s">
        <v>2123</v>
      </c>
      <c r="B362" s="74" t="s">
        <v>2141</v>
      </c>
      <c r="C362" s="74" t="s">
        <v>2142</v>
      </c>
      <c r="D362" s="74" t="s">
        <v>2143</v>
      </c>
      <c r="E362" s="74" t="s">
        <v>2144</v>
      </c>
      <c r="F362" s="74" t="s">
        <v>2145</v>
      </c>
      <c r="G362" s="75" t="s">
        <v>2146</v>
      </c>
    </row>
    <row r="363">
      <c r="A363" s="93" t="s">
        <v>2123</v>
      </c>
      <c r="B363" s="93" t="s">
        <v>2147</v>
      </c>
      <c r="C363" s="93" t="s">
        <v>2148</v>
      </c>
      <c r="D363" s="93" t="s">
        <v>2149</v>
      </c>
      <c r="E363" s="93" t="s">
        <v>2150</v>
      </c>
      <c r="F363" s="93" t="s">
        <v>2151</v>
      </c>
      <c r="G363" s="94" t="s">
        <v>2152</v>
      </c>
    </row>
    <row r="364">
      <c r="A364" s="74" t="s">
        <v>2123</v>
      </c>
      <c r="B364" s="74" t="s">
        <v>2153</v>
      </c>
      <c r="C364" s="74" t="s">
        <v>2154</v>
      </c>
      <c r="D364" s="74" t="s">
        <v>2155</v>
      </c>
      <c r="E364" s="74" t="s">
        <v>2156</v>
      </c>
      <c r="F364" s="74" t="s">
        <v>2157</v>
      </c>
      <c r="G364" s="75" t="s">
        <v>2158</v>
      </c>
    </row>
    <row r="365">
      <c r="A365" s="93" t="s">
        <v>2123</v>
      </c>
      <c r="B365" s="93" t="s">
        <v>2159</v>
      </c>
      <c r="C365" s="93" t="s">
        <v>2160</v>
      </c>
      <c r="D365" s="93" t="s">
        <v>2161</v>
      </c>
      <c r="E365" s="93" t="s">
        <v>2162</v>
      </c>
      <c r="F365" s="93" t="s">
        <v>2163</v>
      </c>
      <c r="G365" s="94" t="s">
        <v>2164</v>
      </c>
    </row>
    <row r="366">
      <c r="A366" s="74" t="s">
        <v>2123</v>
      </c>
      <c r="B366" s="74" t="s">
        <v>2165</v>
      </c>
      <c r="C366" s="74" t="s">
        <v>2166</v>
      </c>
      <c r="D366" s="74" t="s">
        <v>2167</v>
      </c>
      <c r="E366" s="74" t="s">
        <v>2168</v>
      </c>
      <c r="F366" s="77"/>
      <c r="G366" s="75" t="s">
        <v>2169</v>
      </c>
    </row>
    <row r="367">
      <c r="A367" s="93" t="s">
        <v>2123</v>
      </c>
      <c r="B367" s="93" t="s">
        <v>2170</v>
      </c>
      <c r="C367" s="93" t="s">
        <v>2171</v>
      </c>
      <c r="D367" s="93" t="s">
        <v>2172</v>
      </c>
      <c r="E367" s="93" t="s">
        <v>2173</v>
      </c>
      <c r="F367" s="93" t="s">
        <v>2174</v>
      </c>
      <c r="G367" s="94" t="s">
        <v>2175</v>
      </c>
    </row>
    <row r="368">
      <c r="A368" s="74" t="s">
        <v>2123</v>
      </c>
      <c r="B368" s="74" t="s">
        <v>2176</v>
      </c>
      <c r="C368" s="74" t="s">
        <v>2177</v>
      </c>
      <c r="D368" s="74" t="s">
        <v>2178</v>
      </c>
      <c r="E368" s="74" t="s">
        <v>2179</v>
      </c>
      <c r="F368" s="74" t="s">
        <v>2180</v>
      </c>
      <c r="G368" s="75" t="s">
        <v>2181</v>
      </c>
    </row>
    <row r="369">
      <c r="A369" s="93" t="s">
        <v>2123</v>
      </c>
      <c r="B369" s="93" t="s">
        <v>2182</v>
      </c>
      <c r="C369" s="93" t="s">
        <v>2183</v>
      </c>
      <c r="D369" s="93" t="s">
        <v>2184</v>
      </c>
      <c r="E369" s="93" t="s">
        <v>2185</v>
      </c>
      <c r="F369" s="93" t="s">
        <v>2186</v>
      </c>
      <c r="G369" s="94" t="s">
        <v>2187</v>
      </c>
    </row>
    <row r="370">
      <c r="A370" s="74" t="s">
        <v>2123</v>
      </c>
      <c r="B370" s="74" t="s">
        <v>2188</v>
      </c>
      <c r="C370" s="74" t="s">
        <v>2189</v>
      </c>
      <c r="D370" s="74" t="s">
        <v>2190</v>
      </c>
      <c r="E370" s="74" t="s">
        <v>2191</v>
      </c>
      <c r="F370" s="74" t="s">
        <v>2192</v>
      </c>
      <c r="G370" s="75" t="s">
        <v>2193</v>
      </c>
    </row>
    <row r="371">
      <c r="A371" s="93" t="s">
        <v>2123</v>
      </c>
      <c r="B371" s="93" t="s">
        <v>2194</v>
      </c>
      <c r="C371" s="93" t="s">
        <v>2195</v>
      </c>
      <c r="D371" s="93" t="s">
        <v>2196</v>
      </c>
      <c r="E371" s="93" t="s">
        <v>2197</v>
      </c>
      <c r="F371" s="93" t="s">
        <v>2198</v>
      </c>
      <c r="G371" s="94" t="s">
        <v>2199</v>
      </c>
    </row>
    <row r="372">
      <c r="A372" s="74" t="s">
        <v>2123</v>
      </c>
      <c r="B372" s="74" t="s">
        <v>2200</v>
      </c>
      <c r="C372" s="74" t="s">
        <v>2201</v>
      </c>
      <c r="D372" s="74" t="s">
        <v>2202</v>
      </c>
      <c r="E372" s="74" t="s">
        <v>2203</v>
      </c>
      <c r="F372" s="74" t="s">
        <v>2204</v>
      </c>
      <c r="G372" s="75" t="s">
        <v>2205</v>
      </c>
    </row>
    <row r="373">
      <c r="A373" s="93" t="s">
        <v>2123</v>
      </c>
      <c r="B373" s="93" t="s">
        <v>2206</v>
      </c>
      <c r="C373" s="93" t="s">
        <v>2207</v>
      </c>
      <c r="D373" s="93" t="s">
        <v>2208</v>
      </c>
      <c r="E373" s="93" t="s">
        <v>2209</v>
      </c>
      <c r="F373" s="93" t="s">
        <v>2210</v>
      </c>
      <c r="G373" s="94" t="s">
        <v>2211</v>
      </c>
    </row>
    <row r="374">
      <c r="A374" s="74" t="s">
        <v>2123</v>
      </c>
      <c r="B374" s="74" t="s">
        <v>2212</v>
      </c>
      <c r="C374" s="74" t="s">
        <v>2213</v>
      </c>
      <c r="D374" s="74" t="s">
        <v>2214</v>
      </c>
      <c r="E374" s="74" t="s">
        <v>2215</v>
      </c>
      <c r="F374" s="74" t="s">
        <v>2216</v>
      </c>
      <c r="G374" s="75" t="s">
        <v>2217</v>
      </c>
    </row>
    <row r="375">
      <c r="A375" s="95" t="s">
        <v>2218</v>
      </c>
      <c r="B375" s="95" t="s">
        <v>2219</v>
      </c>
      <c r="C375" s="95" t="s">
        <v>2220</v>
      </c>
      <c r="D375" s="95" t="s">
        <v>2221</v>
      </c>
      <c r="E375" s="95" t="s">
        <v>2222</v>
      </c>
      <c r="F375" s="95" t="s">
        <v>2223</v>
      </c>
      <c r="G375" s="96" t="s">
        <v>2224</v>
      </c>
    </row>
    <row r="376">
      <c r="A376" s="65" t="s">
        <v>2218</v>
      </c>
      <c r="B376" s="65" t="s">
        <v>2225</v>
      </c>
      <c r="C376" s="65" t="s">
        <v>2226</v>
      </c>
      <c r="D376" s="65" t="s">
        <v>2227</v>
      </c>
      <c r="E376" s="65" t="s">
        <v>2228</v>
      </c>
      <c r="F376" s="65" t="s">
        <v>2229</v>
      </c>
      <c r="G376" s="66" t="s">
        <v>2230</v>
      </c>
    </row>
    <row r="377">
      <c r="A377" s="95" t="s">
        <v>2218</v>
      </c>
      <c r="B377" s="95" t="s">
        <v>2231</v>
      </c>
      <c r="C377" s="95" t="s">
        <v>2232</v>
      </c>
      <c r="D377" s="95" t="s">
        <v>2233</v>
      </c>
      <c r="E377" s="95" t="s">
        <v>2234</v>
      </c>
      <c r="F377" s="95" t="s">
        <v>2235</v>
      </c>
      <c r="G377" s="96" t="s">
        <v>2236</v>
      </c>
    </row>
    <row r="378">
      <c r="A378" s="65" t="s">
        <v>2218</v>
      </c>
      <c r="B378" s="65" t="s">
        <v>2237</v>
      </c>
      <c r="C378" s="65" t="s">
        <v>2238</v>
      </c>
      <c r="D378" s="65" t="s">
        <v>2239</v>
      </c>
      <c r="E378" s="65" t="s">
        <v>2240</v>
      </c>
      <c r="F378" s="65" t="s">
        <v>2241</v>
      </c>
      <c r="G378" s="66" t="s">
        <v>2242</v>
      </c>
    </row>
    <row r="379">
      <c r="A379" s="95" t="s">
        <v>2218</v>
      </c>
      <c r="B379" s="95" t="s">
        <v>2243</v>
      </c>
      <c r="C379" s="95" t="s">
        <v>2244</v>
      </c>
      <c r="D379" s="95" t="s">
        <v>2245</v>
      </c>
      <c r="E379" s="95" t="s">
        <v>2246</v>
      </c>
      <c r="F379" s="95" t="s">
        <v>2247</v>
      </c>
      <c r="G379" s="96" t="s">
        <v>2248</v>
      </c>
    </row>
    <row r="380">
      <c r="A380" s="65" t="s">
        <v>2218</v>
      </c>
      <c r="B380" s="65" t="s">
        <v>2249</v>
      </c>
      <c r="C380" s="65" t="s">
        <v>2250</v>
      </c>
      <c r="D380" s="65" t="s">
        <v>2251</v>
      </c>
      <c r="E380" s="65" t="s">
        <v>2252</v>
      </c>
      <c r="F380" s="65" t="s">
        <v>2253</v>
      </c>
      <c r="G380" s="66" t="s">
        <v>2254</v>
      </c>
    </row>
    <row r="381">
      <c r="A381" s="97" t="s">
        <v>2255</v>
      </c>
      <c r="B381" s="97" t="s">
        <v>105</v>
      </c>
      <c r="C381" s="97" t="s">
        <v>2256</v>
      </c>
      <c r="D381" s="97" t="s">
        <v>2257</v>
      </c>
      <c r="E381" s="97" t="s">
        <v>2258</v>
      </c>
      <c r="F381" s="97" t="s">
        <v>2259</v>
      </c>
      <c r="G381" s="98" t="s">
        <v>2260</v>
      </c>
    </row>
    <row r="382">
      <c r="A382" s="99" t="s">
        <v>2255</v>
      </c>
      <c r="B382" s="99" t="s">
        <v>2261</v>
      </c>
      <c r="C382" s="99" t="s">
        <v>2262</v>
      </c>
      <c r="D382" s="99" t="s">
        <v>2263</v>
      </c>
      <c r="E382" s="99" t="s">
        <v>2264</v>
      </c>
      <c r="F382" s="100"/>
      <c r="G382" s="101" t="s">
        <v>2265</v>
      </c>
    </row>
    <row r="383">
      <c r="A383" s="97" t="s">
        <v>2255</v>
      </c>
      <c r="B383" s="97" t="s">
        <v>2266</v>
      </c>
      <c r="C383" s="97" t="s">
        <v>2267</v>
      </c>
      <c r="D383" s="97" t="s">
        <v>2268</v>
      </c>
      <c r="E383" s="97" t="s">
        <v>2269</v>
      </c>
      <c r="F383" s="97" t="s">
        <v>2270</v>
      </c>
      <c r="G383" s="98" t="s">
        <v>2271</v>
      </c>
    </row>
    <row r="384">
      <c r="A384" s="99" t="s">
        <v>2255</v>
      </c>
      <c r="B384" s="99" t="s">
        <v>2272</v>
      </c>
      <c r="C384" s="99" t="s">
        <v>2273</v>
      </c>
      <c r="D384" s="99" t="s">
        <v>2274</v>
      </c>
      <c r="E384" s="99" t="s">
        <v>2275</v>
      </c>
      <c r="F384" s="99" t="s">
        <v>2276</v>
      </c>
      <c r="G384" s="102" t="s">
        <v>2277</v>
      </c>
    </row>
    <row r="385">
      <c r="A385" s="97" t="s">
        <v>2255</v>
      </c>
      <c r="B385" s="97" t="s">
        <v>2278</v>
      </c>
      <c r="C385" s="97" t="s">
        <v>2279</v>
      </c>
      <c r="D385" s="97" t="s">
        <v>2280</v>
      </c>
      <c r="E385" s="97" t="s">
        <v>2281</v>
      </c>
      <c r="F385" s="103"/>
      <c r="G385" s="98" t="s">
        <v>2282</v>
      </c>
    </row>
    <row r="386">
      <c r="A386" s="104" t="s">
        <v>2283</v>
      </c>
      <c r="B386" s="104" t="s">
        <v>2284</v>
      </c>
      <c r="C386" s="104" t="s">
        <v>2285</v>
      </c>
      <c r="D386" s="104" t="s">
        <v>2286</v>
      </c>
      <c r="E386" s="104" t="s">
        <v>2287</v>
      </c>
      <c r="F386" s="104" t="s">
        <v>2288</v>
      </c>
      <c r="G386" s="105" t="s">
        <v>2289</v>
      </c>
    </row>
    <row r="387">
      <c r="A387" s="74" t="s">
        <v>2283</v>
      </c>
      <c r="B387" s="74" t="s">
        <v>2290</v>
      </c>
      <c r="C387" s="74" t="s">
        <v>2291</v>
      </c>
      <c r="D387" s="74" t="s">
        <v>2292</v>
      </c>
      <c r="E387" s="74" t="s">
        <v>2293</v>
      </c>
      <c r="F387" s="74" t="s">
        <v>2294</v>
      </c>
      <c r="G387" s="75" t="s">
        <v>2295</v>
      </c>
    </row>
    <row r="388">
      <c r="A388" s="93" t="s">
        <v>2283</v>
      </c>
      <c r="B388" s="93" t="s">
        <v>2296</v>
      </c>
      <c r="C388" s="93" t="s">
        <v>2297</v>
      </c>
      <c r="D388" s="93" t="s">
        <v>2298</v>
      </c>
      <c r="E388" s="93" t="s">
        <v>2299</v>
      </c>
      <c r="F388" s="93" t="s">
        <v>2300</v>
      </c>
      <c r="G388" s="94" t="s">
        <v>2301</v>
      </c>
    </row>
    <row r="389">
      <c r="A389" s="74" t="s">
        <v>2283</v>
      </c>
      <c r="B389" s="74" t="s">
        <v>2302</v>
      </c>
      <c r="C389" s="74" t="s">
        <v>2303</v>
      </c>
      <c r="D389" s="74" t="s">
        <v>2304</v>
      </c>
      <c r="E389" s="74" t="s">
        <v>2305</v>
      </c>
      <c r="F389" s="74" t="s">
        <v>2306</v>
      </c>
      <c r="G389" s="75" t="s">
        <v>2307</v>
      </c>
    </row>
    <row r="390">
      <c r="A390" s="93" t="s">
        <v>2283</v>
      </c>
      <c r="B390" s="93" t="s">
        <v>2308</v>
      </c>
      <c r="C390" s="93" t="s">
        <v>2309</v>
      </c>
      <c r="D390" s="93" t="s">
        <v>2310</v>
      </c>
      <c r="E390" s="93" t="s">
        <v>2311</v>
      </c>
      <c r="F390" s="93" t="s">
        <v>2312</v>
      </c>
      <c r="G390" s="94" t="s">
        <v>2313</v>
      </c>
    </row>
    <row r="391">
      <c r="A391" s="74" t="s">
        <v>2283</v>
      </c>
      <c r="B391" s="74" t="s">
        <v>2314</v>
      </c>
      <c r="C391" s="74" t="s">
        <v>2315</v>
      </c>
      <c r="D391" s="74" t="s">
        <v>2316</v>
      </c>
      <c r="E391" s="74" t="s">
        <v>2317</v>
      </c>
      <c r="F391" s="74" t="s">
        <v>2318</v>
      </c>
      <c r="G391" s="75" t="s">
        <v>2319</v>
      </c>
    </row>
    <row r="392">
      <c r="A392" s="93" t="s">
        <v>2283</v>
      </c>
      <c r="B392" s="93" t="s">
        <v>2320</v>
      </c>
      <c r="C392" s="93" t="s">
        <v>2321</v>
      </c>
      <c r="D392" s="93" t="s">
        <v>2322</v>
      </c>
      <c r="E392" s="93" t="s">
        <v>2323</v>
      </c>
      <c r="F392" s="93" t="s">
        <v>2324</v>
      </c>
      <c r="G392" s="94" t="s">
        <v>2325</v>
      </c>
    </row>
    <row r="393">
      <c r="A393" s="74" t="s">
        <v>2283</v>
      </c>
      <c r="B393" s="74" t="s">
        <v>2326</v>
      </c>
      <c r="C393" s="74" t="s">
        <v>2327</v>
      </c>
      <c r="D393" s="74" t="s">
        <v>2328</v>
      </c>
      <c r="E393" s="74" t="s">
        <v>2329</v>
      </c>
      <c r="F393" s="77"/>
      <c r="G393" s="75" t="s">
        <v>2330</v>
      </c>
    </row>
    <row r="394">
      <c r="A394" s="93" t="s">
        <v>2283</v>
      </c>
      <c r="B394" s="93" t="s">
        <v>2331</v>
      </c>
      <c r="C394" s="93" t="s">
        <v>2332</v>
      </c>
      <c r="D394" s="93" t="s">
        <v>2333</v>
      </c>
      <c r="E394" s="93" t="s">
        <v>2334</v>
      </c>
      <c r="F394" s="93" t="s">
        <v>2335</v>
      </c>
      <c r="G394" s="94" t="s">
        <v>2336</v>
      </c>
    </row>
    <row r="395">
      <c r="A395" s="74" t="s">
        <v>2283</v>
      </c>
      <c r="B395" s="74" t="s">
        <v>2337</v>
      </c>
      <c r="C395" s="74" t="s">
        <v>2338</v>
      </c>
      <c r="D395" s="74" t="s">
        <v>2339</v>
      </c>
      <c r="E395" s="74" t="s">
        <v>2340</v>
      </c>
      <c r="F395" s="74" t="s">
        <v>2341</v>
      </c>
      <c r="G395" s="75" t="s">
        <v>2342</v>
      </c>
    </row>
    <row r="396">
      <c r="A396" s="93" t="s">
        <v>2283</v>
      </c>
      <c r="B396" s="93" t="s">
        <v>2343</v>
      </c>
      <c r="C396" s="93" t="s">
        <v>2344</v>
      </c>
      <c r="D396" s="93" t="s">
        <v>2345</v>
      </c>
      <c r="E396" s="93" t="s">
        <v>2346</v>
      </c>
      <c r="F396" s="93" t="s">
        <v>2347</v>
      </c>
      <c r="G396" s="94" t="s">
        <v>2348</v>
      </c>
    </row>
    <row r="397">
      <c r="A397" s="74" t="s">
        <v>2283</v>
      </c>
      <c r="B397" s="74" t="s">
        <v>2349</v>
      </c>
      <c r="C397" s="74" t="s">
        <v>2350</v>
      </c>
      <c r="D397" s="77"/>
      <c r="E397" s="74" t="s">
        <v>2351</v>
      </c>
      <c r="F397" s="77"/>
      <c r="G397" s="75" t="s">
        <v>2352</v>
      </c>
    </row>
    <row r="398">
      <c r="A398" s="93" t="s">
        <v>2283</v>
      </c>
      <c r="B398" s="93" t="s">
        <v>2353</v>
      </c>
      <c r="C398" s="93" t="s">
        <v>2354</v>
      </c>
      <c r="D398" s="93" t="s">
        <v>2355</v>
      </c>
      <c r="E398" s="93" t="s">
        <v>2356</v>
      </c>
      <c r="F398" s="93" t="s">
        <v>2357</v>
      </c>
      <c r="G398" s="94" t="s">
        <v>2358</v>
      </c>
    </row>
    <row r="399">
      <c r="A399" s="74" t="s">
        <v>2283</v>
      </c>
      <c r="B399" s="74" t="s">
        <v>2359</v>
      </c>
      <c r="C399" s="74" t="s">
        <v>2360</v>
      </c>
      <c r="D399" s="74" t="s">
        <v>2361</v>
      </c>
      <c r="E399" s="74" t="s">
        <v>2362</v>
      </c>
      <c r="F399" s="77"/>
      <c r="G399" s="75" t="s">
        <v>2363</v>
      </c>
    </row>
    <row r="400">
      <c r="A400" s="93" t="s">
        <v>2283</v>
      </c>
      <c r="B400" s="93" t="s">
        <v>2364</v>
      </c>
      <c r="C400" s="93" t="s">
        <v>2365</v>
      </c>
      <c r="D400" s="93" t="s">
        <v>2366</v>
      </c>
      <c r="E400" s="93" t="s">
        <v>2367</v>
      </c>
      <c r="F400" s="93" t="s">
        <v>2368</v>
      </c>
      <c r="G400" s="94" t="s">
        <v>2369</v>
      </c>
    </row>
    <row r="401">
      <c r="A401" s="74" t="s">
        <v>2283</v>
      </c>
      <c r="B401" s="74" t="s">
        <v>2370</v>
      </c>
      <c r="C401" s="74" t="s">
        <v>2371</v>
      </c>
      <c r="D401" s="74" t="s">
        <v>2372</v>
      </c>
      <c r="E401" s="74" t="s">
        <v>2373</v>
      </c>
      <c r="F401" s="77"/>
      <c r="G401" s="75" t="s">
        <v>2374</v>
      </c>
    </row>
    <row r="402">
      <c r="A402" s="33" t="s">
        <v>2375</v>
      </c>
      <c r="B402" s="33" t="s">
        <v>105</v>
      </c>
      <c r="C402" s="33" t="s">
        <v>2376</v>
      </c>
      <c r="D402" s="40" t="s">
        <v>2377</v>
      </c>
      <c r="E402" s="33" t="s">
        <v>2378</v>
      </c>
      <c r="F402" s="40" t="s">
        <v>2379</v>
      </c>
      <c r="G402" s="106" t="s">
        <v>2380</v>
      </c>
    </row>
    <row r="403">
      <c r="A403" s="34" t="s">
        <v>2375</v>
      </c>
      <c r="B403" s="34" t="s">
        <v>512</v>
      </c>
      <c r="C403" s="34" t="s">
        <v>2381</v>
      </c>
      <c r="D403" s="42" t="s">
        <v>2382</v>
      </c>
      <c r="E403" s="34" t="s">
        <v>2383</v>
      </c>
      <c r="F403" s="42" t="s">
        <v>2384</v>
      </c>
      <c r="G403" s="107" t="s">
        <v>2385</v>
      </c>
    </row>
    <row r="404">
      <c r="A404" s="33" t="s">
        <v>2375</v>
      </c>
      <c r="B404" s="33" t="s">
        <v>2386</v>
      </c>
      <c r="C404" s="33" t="s">
        <v>2387</v>
      </c>
      <c r="D404" s="40" t="s">
        <v>2388</v>
      </c>
      <c r="E404" s="33" t="s">
        <v>2389</v>
      </c>
      <c r="F404" s="40" t="s">
        <v>2390</v>
      </c>
      <c r="G404" s="106" t="s">
        <v>2391</v>
      </c>
    </row>
    <row r="405">
      <c r="A405" s="34" t="s">
        <v>2375</v>
      </c>
      <c r="B405" s="34" t="s">
        <v>2392</v>
      </c>
      <c r="C405" s="34" t="s">
        <v>2393</v>
      </c>
      <c r="D405" s="42" t="s">
        <v>2394</v>
      </c>
      <c r="E405" s="34" t="s">
        <v>2395</v>
      </c>
      <c r="F405" s="42" t="s">
        <v>2396</v>
      </c>
      <c r="G405" s="107" t="s">
        <v>2397</v>
      </c>
    </row>
    <row r="406">
      <c r="A406" s="33" t="s">
        <v>2375</v>
      </c>
      <c r="B406" s="33" t="s">
        <v>2398</v>
      </c>
      <c r="C406" s="33" t="s">
        <v>2399</v>
      </c>
      <c r="D406" s="108"/>
      <c r="E406" s="109"/>
      <c r="F406" s="108"/>
      <c r="G406" s="106" t="s">
        <v>2400</v>
      </c>
    </row>
    <row r="407">
      <c r="A407" s="34" t="s">
        <v>2375</v>
      </c>
      <c r="B407" s="34" t="s">
        <v>843</v>
      </c>
      <c r="C407" s="34" t="s">
        <v>2401</v>
      </c>
      <c r="D407" s="42" t="s">
        <v>2402</v>
      </c>
      <c r="E407" s="110"/>
      <c r="F407" s="44"/>
      <c r="G407" s="107" t="s">
        <v>2403</v>
      </c>
    </row>
    <row r="408">
      <c r="A408" s="33" t="s">
        <v>2375</v>
      </c>
      <c r="B408" s="33" t="s">
        <v>2404</v>
      </c>
      <c r="C408" s="33" t="s">
        <v>2405</v>
      </c>
      <c r="D408" s="40" t="s">
        <v>2406</v>
      </c>
      <c r="E408" s="33" t="s">
        <v>2407</v>
      </c>
      <c r="F408" s="40" t="s">
        <v>2408</v>
      </c>
      <c r="G408" s="106" t="s">
        <v>2409</v>
      </c>
    </row>
    <row r="409">
      <c r="A409" s="34" t="s">
        <v>2375</v>
      </c>
      <c r="B409" s="34" t="s">
        <v>2410</v>
      </c>
      <c r="C409" s="34" t="s">
        <v>2411</v>
      </c>
      <c r="D409" s="42" t="s">
        <v>2412</v>
      </c>
      <c r="E409" s="34" t="s">
        <v>2413</v>
      </c>
      <c r="F409" s="42" t="s">
        <v>2414</v>
      </c>
      <c r="G409" s="107" t="s">
        <v>2415</v>
      </c>
    </row>
    <row r="410">
      <c r="A410" s="33" t="s">
        <v>2375</v>
      </c>
      <c r="B410" s="33" t="s">
        <v>2416</v>
      </c>
      <c r="C410" s="33" t="s">
        <v>2417</v>
      </c>
      <c r="D410" s="40" t="s">
        <v>2418</v>
      </c>
      <c r="E410" s="33" t="s">
        <v>2419</v>
      </c>
      <c r="F410" s="108"/>
      <c r="G410" s="106" t="s">
        <v>2420</v>
      </c>
    </row>
    <row r="411">
      <c r="A411" s="34" t="s">
        <v>2375</v>
      </c>
      <c r="B411" s="34" t="s">
        <v>2421</v>
      </c>
      <c r="C411" s="34" t="s">
        <v>2422</v>
      </c>
      <c r="D411" s="42" t="s">
        <v>2423</v>
      </c>
      <c r="E411" s="34" t="s">
        <v>2424</v>
      </c>
      <c r="F411" s="42" t="s">
        <v>2425</v>
      </c>
      <c r="G411" s="107" t="s">
        <v>2426</v>
      </c>
    </row>
    <row r="412">
      <c r="A412" s="33" t="s">
        <v>2375</v>
      </c>
      <c r="B412" s="33" t="s">
        <v>2427</v>
      </c>
      <c r="C412" s="33" t="s">
        <v>2428</v>
      </c>
      <c r="D412" s="40" t="s">
        <v>2429</v>
      </c>
      <c r="E412" s="33" t="s">
        <v>2430</v>
      </c>
      <c r="F412" s="40" t="s">
        <v>2431</v>
      </c>
      <c r="G412" s="106" t="s">
        <v>2432</v>
      </c>
    </row>
    <row r="413">
      <c r="A413" s="34" t="s">
        <v>2375</v>
      </c>
      <c r="B413" s="34" t="s">
        <v>2433</v>
      </c>
      <c r="C413" s="34" t="s">
        <v>2434</v>
      </c>
      <c r="D413" s="42" t="s">
        <v>2435</v>
      </c>
      <c r="E413" s="34" t="s">
        <v>2436</v>
      </c>
      <c r="F413" s="42" t="s">
        <v>2437</v>
      </c>
      <c r="G413" s="107" t="s">
        <v>2438</v>
      </c>
    </row>
    <row r="414">
      <c r="A414" s="33" t="s">
        <v>2375</v>
      </c>
      <c r="B414" s="33" t="s">
        <v>2439</v>
      </c>
      <c r="C414" s="33" t="s">
        <v>2440</v>
      </c>
      <c r="D414" s="40" t="s">
        <v>2441</v>
      </c>
      <c r="E414" s="33" t="s">
        <v>2442</v>
      </c>
      <c r="F414" s="40" t="s">
        <v>2443</v>
      </c>
      <c r="G414" s="106" t="s">
        <v>2444</v>
      </c>
    </row>
    <row r="415">
      <c r="A415" s="97" t="s">
        <v>2445</v>
      </c>
      <c r="B415" s="97" t="s">
        <v>2446</v>
      </c>
      <c r="C415" s="97" t="s">
        <v>2447</v>
      </c>
      <c r="D415" s="97" t="s">
        <v>2448</v>
      </c>
      <c r="E415" s="97" t="s">
        <v>2449</v>
      </c>
      <c r="F415" s="97" t="s">
        <v>2450</v>
      </c>
      <c r="G415" s="98" t="s">
        <v>2451</v>
      </c>
    </row>
    <row r="416">
      <c r="A416" s="27" t="s">
        <v>2445</v>
      </c>
      <c r="B416" s="27" t="s">
        <v>2452</v>
      </c>
      <c r="C416" s="27" t="s">
        <v>2453</v>
      </c>
      <c r="D416" s="27" t="s">
        <v>2454</v>
      </c>
      <c r="E416" s="27" t="s">
        <v>2455</v>
      </c>
      <c r="F416" s="111"/>
      <c r="G416" s="28" t="s">
        <v>2456</v>
      </c>
    </row>
    <row r="417">
      <c r="A417" s="97" t="s">
        <v>2445</v>
      </c>
      <c r="B417" s="97" t="s">
        <v>2457</v>
      </c>
      <c r="C417" s="97" t="s">
        <v>2458</v>
      </c>
      <c r="D417" s="97" t="s">
        <v>2459</v>
      </c>
      <c r="E417" s="97" t="s">
        <v>2460</v>
      </c>
      <c r="F417" s="97" t="s">
        <v>2461</v>
      </c>
      <c r="G417" s="98" t="s">
        <v>2462</v>
      </c>
    </row>
    <row r="418">
      <c r="A418" s="27" t="s">
        <v>2445</v>
      </c>
      <c r="B418" s="27" t="s">
        <v>2463</v>
      </c>
      <c r="C418" s="27" t="s">
        <v>2464</v>
      </c>
      <c r="D418" s="27" t="s">
        <v>2465</v>
      </c>
      <c r="E418" s="27" t="s">
        <v>2466</v>
      </c>
      <c r="F418" s="27" t="s">
        <v>2467</v>
      </c>
      <c r="G418" s="28" t="s">
        <v>2468</v>
      </c>
    </row>
    <row r="419">
      <c r="A419" s="97" t="s">
        <v>2445</v>
      </c>
      <c r="B419" s="97" t="s">
        <v>2469</v>
      </c>
      <c r="C419" s="97" t="s">
        <v>2470</v>
      </c>
      <c r="D419" s="97" t="s">
        <v>2471</v>
      </c>
      <c r="E419" s="97" t="s">
        <v>2472</v>
      </c>
      <c r="F419" s="97" t="s">
        <v>2473</v>
      </c>
      <c r="G419" s="98" t="s">
        <v>2474</v>
      </c>
    </row>
    <row r="420">
      <c r="A420" s="27" t="s">
        <v>2445</v>
      </c>
      <c r="B420" s="27" t="s">
        <v>2475</v>
      </c>
      <c r="C420" s="27" t="s">
        <v>2476</v>
      </c>
      <c r="D420" s="27" t="s">
        <v>2477</v>
      </c>
      <c r="E420" s="27" t="s">
        <v>2478</v>
      </c>
      <c r="F420" s="27" t="s">
        <v>2479</v>
      </c>
      <c r="G420" s="28" t="s">
        <v>2480</v>
      </c>
    </row>
    <row r="421">
      <c r="A421" s="97" t="s">
        <v>2445</v>
      </c>
      <c r="B421" s="97" t="s">
        <v>2481</v>
      </c>
      <c r="C421" s="97" t="s">
        <v>2482</v>
      </c>
      <c r="D421" s="97" t="s">
        <v>2483</v>
      </c>
      <c r="E421" s="97" t="s">
        <v>2484</v>
      </c>
      <c r="F421" s="97" t="s">
        <v>2485</v>
      </c>
      <c r="G421" s="98" t="s">
        <v>2486</v>
      </c>
    </row>
    <row r="422">
      <c r="A422" s="27" t="s">
        <v>2445</v>
      </c>
      <c r="B422" s="27" t="s">
        <v>2487</v>
      </c>
      <c r="C422" s="27" t="s">
        <v>2488</v>
      </c>
      <c r="D422" s="27" t="s">
        <v>2489</v>
      </c>
      <c r="E422" s="27" t="s">
        <v>2490</v>
      </c>
      <c r="F422" s="27" t="s">
        <v>2491</v>
      </c>
      <c r="G422" s="28" t="s">
        <v>2492</v>
      </c>
    </row>
    <row r="423">
      <c r="A423" s="97" t="s">
        <v>2445</v>
      </c>
      <c r="B423" s="97" t="s">
        <v>2493</v>
      </c>
      <c r="C423" s="97" t="s">
        <v>2494</v>
      </c>
      <c r="D423" s="97" t="s">
        <v>2495</v>
      </c>
      <c r="E423" s="97" t="s">
        <v>2496</v>
      </c>
      <c r="F423" s="97" t="s">
        <v>2497</v>
      </c>
      <c r="G423" s="98" t="s">
        <v>2498</v>
      </c>
    </row>
    <row r="424">
      <c r="A424" s="27" t="s">
        <v>2445</v>
      </c>
      <c r="B424" s="27" t="s">
        <v>2499</v>
      </c>
      <c r="C424" s="27" t="s">
        <v>2500</v>
      </c>
      <c r="D424" s="27" t="s">
        <v>2501</v>
      </c>
      <c r="E424" s="27" t="s">
        <v>2502</v>
      </c>
      <c r="F424" s="27" t="s">
        <v>2503</v>
      </c>
      <c r="G424" s="28" t="s">
        <v>2504</v>
      </c>
    </row>
    <row r="425">
      <c r="A425" s="97" t="s">
        <v>2445</v>
      </c>
      <c r="B425" s="97" t="s">
        <v>2505</v>
      </c>
      <c r="C425" s="97" t="s">
        <v>2506</v>
      </c>
      <c r="D425" s="97" t="s">
        <v>2507</v>
      </c>
      <c r="E425" s="97" t="s">
        <v>2508</v>
      </c>
      <c r="F425" s="97" t="s">
        <v>2509</v>
      </c>
      <c r="G425" s="98" t="s">
        <v>2510</v>
      </c>
    </row>
    <row r="426">
      <c r="A426" s="27" t="s">
        <v>2445</v>
      </c>
      <c r="B426" s="27" t="s">
        <v>2511</v>
      </c>
      <c r="C426" s="27" t="s">
        <v>2512</v>
      </c>
      <c r="D426" s="27" t="s">
        <v>2513</v>
      </c>
      <c r="E426" s="27" t="s">
        <v>2514</v>
      </c>
      <c r="F426" s="27" t="s">
        <v>2515</v>
      </c>
      <c r="G426" s="28" t="s">
        <v>2516</v>
      </c>
    </row>
    <row r="427">
      <c r="A427" s="97" t="s">
        <v>2445</v>
      </c>
      <c r="B427" s="97" t="s">
        <v>1227</v>
      </c>
      <c r="C427" s="97" t="s">
        <v>2517</v>
      </c>
      <c r="D427" s="97" t="s">
        <v>2518</v>
      </c>
      <c r="E427" s="97" t="s">
        <v>2519</v>
      </c>
      <c r="F427" s="97" t="s">
        <v>2520</v>
      </c>
      <c r="G427" s="98" t="s">
        <v>2521</v>
      </c>
    </row>
    <row r="428">
      <c r="A428" s="112" t="s">
        <v>2522</v>
      </c>
      <c r="B428" s="112" t="s">
        <v>2523</v>
      </c>
      <c r="C428" s="112" t="s">
        <v>2524</v>
      </c>
      <c r="D428" s="112" t="s">
        <v>2525</v>
      </c>
      <c r="E428" s="112" t="s">
        <v>2526</v>
      </c>
      <c r="F428" s="112" t="s">
        <v>2527</v>
      </c>
      <c r="G428" s="113" t="s">
        <v>2528</v>
      </c>
    </row>
    <row r="429">
      <c r="A429" s="42" t="s">
        <v>2522</v>
      </c>
      <c r="B429" s="42" t="s">
        <v>2529</v>
      </c>
      <c r="C429" s="42" t="s">
        <v>2530</v>
      </c>
      <c r="D429" s="42" t="s">
        <v>2531</v>
      </c>
      <c r="E429" s="42" t="s">
        <v>2532</v>
      </c>
      <c r="F429" s="42" t="s">
        <v>2533</v>
      </c>
      <c r="G429" s="43" t="s">
        <v>2534</v>
      </c>
    </row>
    <row r="430">
      <c r="A430" s="112" t="s">
        <v>2522</v>
      </c>
      <c r="B430" s="112" t="s">
        <v>2535</v>
      </c>
      <c r="C430" s="112" t="s">
        <v>2536</v>
      </c>
      <c r="D430" s="112" t="s">
        <v>2537</v>
      </c>
      <c r="E430" s="112" t="s">
        <v>2538</v>
      </c>
      <c r="F430" s="112" t="s">
        <v>2539</v>
      </c>
      <c r="G430" s="113" t="s">
        <v>2540</v>
      </c>
    </row>
    <row r="431">
      <c r="A431" s="42" t="s">
        <v>2522</v>
      </c>
      <c r="B431" s="42" t="s">
        <v>2541</v>
      </c>
      <c r="C431" s="42" t="s">
        <v>2542</v>
      </c>
      <c r="D431" s="42" t="s">
        <v>2543</v>
      </c>
      <c r="E431" s="42" t="s">
        <v>2544</v>
      </c>
      <c r="F431" s="42" t="s">
        <v>2545</v>
      </c>
      <c r="G431" s="43" t="s">
        <v>2546</v>
      </c>
    </row>
    <row r="432">
      <c r="A432" s="112" t="s">
        <v>2522</v>
      </c>
      <c r="B432" s="112" t="s">
        <v>2547</v>
      </c>
      <c r="C432" s="112" t="s">
        <v>2548</v>
      </c>
      <c r="D432" s="112" t="s">
        <v>2549</v>
      </c>
      <c r="E432" s="112" t="s">
        <v>2550</v>
      </c>
      <c r="F432" s="114"/>
      <c r="G432" s="113" t="s">
        <v>2551</v>
      </c>
    </row>
    <row r="433">
      <c r="A433" s="42" t="s">
        <v>2522</v>
      </c>
      <c r="B433" s="42" t="s">
        <v>2552</v>
      </c>
      <c r="C433" s="42" t="s">
        <v>2553</v>
      </c>
      <c r="D433" s="42" t="s">
        <v>2554</v>
      </c>
      <c r="E433" s="42" t="s">
        <v>2555</v>
      </c>
      <c r="F433" s="42" t="s">
        <v>2556</v>
      </c>
      <c r="G433" s="43" t="s">
        <v>2557</v>
      </c>
    </row>
    <row r="434">
      <c r="A434" s="112" t="s">
        <v>2522</v>
      </c>
      <c r="B434" s="112" t="s">
        <v>2558</v>
      </c>
      <c r="C434" s="112" t="s">
        <v>2559</v>
      </c>
      <c r="D434" s="112" t="s">
        <v>2560</v>
      </c>
      <c r="E434" s="112" t="s">
        <v>2561</v>
      </c>
      <c r="F434" s="114"/>
      <c r="G434" s="113" t="s">
        <v>2562</v>
      </c>
    </row>
    <row r="435">
      <c r="A435" s="42" t="s">
        <v>2522</v>
      </c>
      <c r="B435" s="42" t="s">
        <v>2563</v>
      </c>
      <c r="C435" s="42" t="s">
        <v>2564</v>
      </c>
      <c r="D435" s="42" t="s">
        <v>2565</v>
      </c>
      <c r="E435" s="42" t="s">
        <v>2566</v>
      </c>
      <c r="F435" s="42" t="s">
        <v>2567</v>
      </c>
      <c r="G435" s="43" t="s">
        <v>2568</v>
      </c>
    </row>
    <row r="436">
      <c r="A436" s="112" t="s">
        <v>2522</v>
      </c>
      <c r="B436" s="112" t="s">
        <v>2569</v>
      </c>
      <c r="C436" s="112" t="s">
        <v>2570</v>
      </c>
      <c r="D436" s="112" t="s">
        <v>2571</v>
      </c>
      <c r="E436" s="112" t="s">
        <v>2572</v>
      </c>
      <c r="F436" s="112" t="s">
        <v>2573</v>
      </c>
      <c r="G436" s="113" t="s">
        <v>2574</v>
      </c>
    </row>
    <row r="437">
      <c r="A437" s="42" t="s">
        <v>2522</v>
      </c>
      <c r="B437" s="42" t="s">
        <v>2575</v>
      </c>
      <c r="C437" s="42" t="s">
        <v>2576</v>
      </c>
      <c r="D437" s="42" t="s">
        <v>2577</v>
      </c>
      <c r="E437" s="42" t="s">
        <v>2578</v>
      </c>
      <c r="F437" s="42" t="s">
        <v>2579</v>
      </c>
      <c r="G437" s="43" t="s">
        <v>2580</v>
      </c>
    </row>
    <row r="438">
      <c r="A438" s="112" t="s">
        <v>2522</v>
      </c>
      <c r="B438" s="112" t="s">
        <v>2581</v>
      </c>
      <c r="C438" s="112" t="s">
        <v>2582</v>
      </c>
      <c r="D438" s="112" t="s">
        <v>2583</v>
      </c>
      <c r="E438" s="112" t="s">
        <v>2584</v>
      </c>
      <c r="F438" s="114"/>
      <c r="G438" s="113" t="s">
        <v>2585</v>
      </c>
    </row>
    <row r="439">
      <c r="A439" s="42" t="s">
        <v>2522</v>
      </c>
      <c r="B439" s="42" t="s">
        <v>2586</v>
      </c>
      <c r="C439" s="42" t="s">
        <v>2587</v>
      </c>
      <c r="D439" s="42" t="s">
        <v>2588</v>
      </c>
      <c r="E439" s="42" t="s">
        <v>2589</v>
      </c>
      <c r="F439" s="42" t="s">
        <v>2590</v>
      </c>
      <c r="G439" s="43" t="s">
        <v>2591</v>
      </c>
    </row>
    <row r="440">
      <c r="A440" s="112" t="s">
        <v>2522</v>
      </c>
      <c r="B440" s="112" t="s">
        <v>2592</v>
      </c>
      <c r="C440" s="112" t="s">
        <v>2593</v>
      </c>
      <c r="D440" s="112" t="s">
        <v>2594</v>
      </c>
      <c r="E440" s="112" t="s">
        <v>2595</v>
      </c>
      <c r="F440" s="112" t="s">
        <v>2596</v>
      </c>
      <c r="G440" s="113" t="s">
        <v>2597</v>
      </c>
    </row>
    <row r="441">
      <c r="A441" s="42" t="s">
        <v>2522</v>
      </c>
      <c r="B441" s="42" t="s">
        <v>2598</v>
      </c>
      <c r="C441" s="42" t="s">
        <v>2599</v>
      </c>
      <c r="D441" s="42" t="s">
        <v>2600</v>
      </c>
      <c r="E441" s="42" t="s">
        <v>2601</v>
      </c>
      <c r="F441" s="42" t="s">
        <v>2602</v>
      </c>
      <c r="G441" s="43" t="s">
        <v>2603</v>
      </c>
    </row>
    <row r="442">
      <c r="A442" s="112" t="s">
        <v>2522</v>
      </c>
      <c r="B442" s="112" t="s">
        <v>2604</v>
      </c>
      <c r="C442" s="112" t="s">
        <v>2605</v>
      </c>
      <c r="D442" s="112" t="s">
        <v>2606</v>
      </c>
      <c r="E442" s="112" t="s">
        <v>2607</v>
      </c>
      <c r="F442" s="112" t="s">
        <v>2608</v>
      </c>
      <c r="G442" s="113" t="s">
        <v>2609</v>
      </c>
    </row>
    <row r="443">
      <c r="A443" s="42" t="s">
        <v>2522</v>
      </c>
      <c r="B443" s="42" t="s">
        <v>2610</v>
      </c>
      <c r="C443" s="42" t="s">
        <v>2611</v>
      </c>
      <c r="D443" s="42" t="s">
        <v>2612</v>
      </c>
      <c r="E443" s="42" t="s">
        <v>2613</v>
      </c>
      <c r="F443" s="42" t="s">
        <v>2614</v>
      </c>
      <c r="G443" s="43" t="s">
        <v>2615</v>
      </c>
    </row>
    <row r="444">
      <c r="A444" s="112" t="s">
        <v>2522</v>
      </c>
      <c r="B444" s="112" t="s">
        <v>2616</v>
      </c>
      <c r="C444" s="112" t="s">
        <v>2617</v>
      </c>
      <c r="D444" s="112" t="s">
        <v>2618</v>
      </c>
      <c r="E444" s="112" t="s">
        <v>2619</v>
      </c>
      <c r="F444" s="114"/>
      <c r="G444" s="113" t="s">
        <v>2620</v>
      </c>
    </row>
    <row r="445">
      <c r="A445" s="42" t="s">
        <v>2522</v>
      </c>
      <c r="B445" s="42" t="s">
        <v>2621</v>
      </c>
      <c r="C445" s="42" t="s">
        <v>2622</v>
      </c>
      <c r="D445" s="42" t="s">
        <v>2623</v>
      </c>
      <c r="E445" s="42" t="s">
        <v>2624</v>
      </c>
      <c r="F445" s="44"/>
      <c r="G445" s="43" t="s">
        <v>2625</v>
      </c>
    </row>
    <row r="446">
      <c r="A446" s="112" t="s">
        <v>2522</v>
      </c>
      <c r="B446" s="112" t="s">
        <v>2626</v>
      </c>
      <c r="C446" s="112" t="s">
        <v>2627</v>
      </c>
      <c r="D446" s="112" t="s">
        <v>2628</v>
      </c>
      <c r="E446" s="112" t="s">
        <v>2629</v>
      </c>
      <c r="F446" s="114"/>
      <c r="G446" s="113" t="s">
        <v>2630</v>
      </c>
    </row>
    <row r="447">
      <c r="A447" s="42" t="s">
        <v>2522</v>
      </c>
      <c r="B447" s="42" t="s">
        <v>2631</v>
      </c>
      <c r="C447" s="42" t="s">
        <v>2632</v>
      </c>
      <c r="D447" s="42" t="s">
        <v>2633</v>
      </c>
      <c r="E447" s="42" t="s">
        <v>2634</v>
      </c>
      <c r="F447" s="42" t="s">
        <v>2635</v>
      </c>
      <c r="G447" s="43" t="s">
        <v>2636</v>
      </c>
    </row>
    <row r="448">
      <c r="A448" s="112" t="s">
        <v>2522</v>
      </c>
      <c r="B448" s="112" t="s">
        <v>2637</v>
      </c>
      <c r="C448" s="112" t="s">
        <v>2638</v>
      </c>
      <c r="D448" s="112" t="s">
        <v>2639</v>
      </c>
      <c r="E448" s="112" t="s">
        <v>2640</v>
      </c>
      <c r="F448" s="112" t="s">
        <v>2641</v>
      </c>
      <c r="G448" s="113" t="s">
        <v>2642</v>
      </c>
    </row>
    <row r="449">
      <c r="A449" s="42" t="s">
        <v>2522</v>
      </c>
      <c r="B449" s="42" t="s">
        <v>2643</v>
      </c>
      <c r="C449" s="42" t="s">
        <v>2644</v>
      </c>
      <c r="D449" s="42" t="s">
        <v>2645</v>
      </c>
      <c r="E449" s="42" t="s">
        <v>2646</v>
      </c>
      <c r="F449" s="44"/>
      <c r="G449" s="43" t="s">
        <v>2647</v>
      </c>
    </row>
    <row r="450">
      <c r="A450" s="112" t="s">
        <v>2522</v>
      </c>
      <c r="B450" s="112" t="s">
        <v>2648</v>
      </c>
      <c r="C450" s="112" t="s">
        <v>2649</v>
      </c>
      <c r="D450" s="112" t="s">
        <v>2650</v>
      </c>
      <c r="E450" s="112" t="s">
        <v>2651</v>
      </c>
      <c r="F450" s="114"/>
      <c r="G450" s="113" t="s">
        <v>2652</v>
      </c>
    </row>
    <row r="451">
      <c r="A451" s="42" t="s">
        <v>2522</v>
      </c>
      <c r="B451" s="42" t="s">
        <v>2653</v>
      </c>
      <c r="C451" s="42" t="s">
        <v>2654</v>
      </c>
      <c r="D451" s="42" t="s">
        <v>2655</v>
      </c>
      <c r="E451" s="42" t="s">
        <v>2656</v>
      </c>
      <c r="F451" s="42" t="s">
        <v>2657</v>
      </c>
      <c r="G451" s="43" t="s">
        <v>2658</v>
      </c>
    </row>
    <row r="452">
      <c r="A452" s="112" t="s">
        <v>2522</v>
      </c>
      <c r="B452" s="112" t="s">
        <v>2659</v>
      </c>
      <c r="C452" s="112" t="s">
        <v>2660</v>
      </c>
      <c r="D452" s="112" t="s">
        <v>2661</v>
      </c>
      <c r="E452" s="112" t="s">
        <v>2662</v>
      </c>
      <c r="F452" s="114"/>
      <c r="G452" s="113" t="s">
        <v>2663</v>
      </c>
    </row>
    <row r="453">
      <c r="A453" s="42" t="s">
        <v>2522</v>
      </c>
      <c r="B453" s="42" t="s">
        <v>2664</v>
      </c>
      <c r="C453" s="42" t="s">
        <v>2665</v>
      </c>
      <c r="D453" s="42" t="s">
        <v>2666</v>
      </c>
      <c r="E453" s="42" t="s">
        <v>2667</v>
      </c>
      <c r="F453" s="44"/>
      <c r="G453" s="43" t="s">
        <v>2668</v>
      </c>
    </row>
    <row r="454">
      <c r="A454" s="112" t="s">
        <v>2522</v>
      </c>
      <c r="B454" s="112" t="s">
        <v>2669</v>
      </c>
      <c r="C454" s="112" t="s">
        <v>2670</v>
      </c>
      <c r="D454" s="112" t="s">
        <v>2671</v>
      </c>
      <c r="E454" s="112" t="s">
        <v>2672</v>
      </c>
      <c r="F454" s="114"/>
      <c r="G454" s="113" t="s">
        <v>2673</v>
      </c>
    </row>
    <row r="455">
      <c r="A455" s="42" t="s">
        <v>2522</v>
      </c>
      <c r="B455" s="42" t="s">
        <v>2674</v>
      </c>
      <c r="C455" s="42" t="s">
        <v>2675</v>
      </c>
      <c r="D455" s="44"/>
      <c r="E455" s="42" t="s">
        <v>2676</v>
      </c>
      <c r="F455" s="42" t="s">
        <v>2677</v>
      </c>
      <c r="G455" s="43" t="s">
        <v>2678</v>
      </c>
    </row>
    <row r="456">
      <c r="A456" s="112" t="s">
        <v>2522</v>
      </c>
      <c r="B456" s="112" t="s">
        <v>2679</v>
      </c>
      <c r="C456" s="112" t="s">
        <v>2680</v>
      </c>
      <c r="D456" s="112" t="s">
        <v>2681</v>
      </c>
      <c r="E456" s="112" t="s">
        <v>2682</v>
      </c>
      <c r="F456" s="112" t="s">
        <v>2683</v>
      </c>
      <c r="G456" s="113" t="s">
        <v>2684</v>
      </c>
    </row>
    <row r="457">
      <c r="A457" s="42" t="s">
        <v>2522</v>
      </c>
      <c r="B457" s="42" t="s">
        <v>2685</v>
      </c>
      <c r="C457" s="42" t="s">
        <v>2686</v>
      </c>
      <c r="D457" s="42" t="s">
        <v>2687</v>
      </c>
      <c r="E457" s="42" t="s">
        <v>2688</v>
      </c>
      <c r="F457" s="44"/>
      <c r="G457" s="43" t="s">
        <v>2689</v>
      </c>
    </row>
    <row r="458">
      <c r="A458" s="112" t="s">
        <v>2522</v>
      </c>
      <c r="B458" s="112" t="s">
        <v>2690</v>
      </c>
      <c r="C458" s="112" t="s">
        <v>2691</v>
      </c>
      <c r="D458" s="112" t="s">
        <v>2692</v>
      </c>
      <c r="E458" s="112" t="s">
        <v>2693</v>
      </c>
      <c r="F458" s="112" t="s">
        <v>2694</v>
      </c>
      <c r="G458" s="113" t="s">
        <v>2695</v>
      </c>
    </row>
    <row r="459">
      <c r="A459" s="42" t="s">
        <v>2522</v>
      </c>
      <c r="B459" s="42" t="s">
        <v>2696</v>
      </c>
      <c r="C459" s="42" t="s">
        <v>2697</v>
      </c>
      <c r="D459" s="42" t="s">
        <v>2698</v>
      </c>
      <c r="E459" s="42" t="s">
        <v>2699</v>
      </c>
      <c r="F459" s="42" t="s">
        <v>2700</v>
      </c>
      <c r="G459" s="43" t="s">
        <v>2701</v>
      </c>
    </row>
    <row r="460">
      <c r="A460" s="112" t="s">
        <v>2522</v>
      </c>
      <c r="B460" s="112" t="s">
        <v>2702</v>
      </c>
      <c r="C460" s="112" t="s">
        <v>2703</v>
      </c>
      <c r="D460" s="112" t="s">
        <v>2704</v>
      </c>
      <c r="E460" s="112" t="s">
        <v>2705</v>
      </c>
      <c r="F460" s="112" t="s">
        <v>2706</v>
      </c>
      <c r="G460" s="113" t="s">
        <v>2707</v>
      </c>
    </row>
    <row r="461">
      <c r="A461" s="42" t="s">
        <v>2522</v>
      </c>
      <c r="B461" s="42" t="s">
        <v>2708</v>
      </c>
      <c r="C461" s="42" t="s">
        <v>2709</v>
      </c>
      <c r="D461" s="42" t="s">
        <v>2710</v>
      </c>
      <c r="E461" s="42" t="s">
        <v>2711</v>
      </c>
      <c r="F461" s="42" t="s">
        <v>2712</v>
      </c>
      <c r="G461" s="43" t="s">
        <v>2713</v>
      </c>
    </row>
    <row r="462">
      <c r="A462" s="112" t="s">
        <v>2522</v>
      </c>
      <c r="B462" s="112" t="s">
        <v>2714</v>
      </c>
      <c r="C462" s="112" t="s">
        <v>2715</v>
      </c>
      <c r="D462" s="114"/>
      <c r="E462" s="112" t="s">
        <v>2716</v>
      </c>
      <c r="F462" s="112" t="s">
        <v>2717</v>
      </c>
      <c r="G462" s="113" t="s">
        <v>2718</v>
      </c>
    </row>
    <row r="463">
      <c r="A463" s="42" t="s">
        <v>2522</v>
      </c>
      <c r="B463" s="42" t="s">
        <v>2719</v>
      </c>
      <c r="C463" s="42" t="s">
        <v>2720</v>
      </c>
      <c r="D463" s="42" t="s">
        <v>2721</v>
      </c>
      <c r="E463" s="42" t="s">
        <v>2722</v>
      </c>
      <c r="F463" s="42" t="s">
        <v>2723</v>
      </c>
      <c r="G463" s="115" t="s">
        <v>2724</v>
      </c>
    </row>
    <row r="464">
      <c r="A464" s="112" t="s">
        <v>2522</v>
      </c>
      <c r="B464" s="112" t="s">
        <v>2725</v>
      </c>
      <c r="C464" s="112" t="s">
        <v>2726</v>
      </c>
      <c r="D464" s="112" t="s">
        <v>2727</v>
      </c>
      <c r="E464" s="112" t="s">
        <v>2728</v>
      </c>
      <c r="F464" s="112" t="s">
        <v>2729</v>
      </c>
      <c r="G464" s="113" t="s">
        <v>2730</v>
      </c>
    </row>
    <row r="465">
      <c r="A465" s="42" t="s">
        <v>2522</v>
      </c>
      <c r="B465" s="42" t="s">
        <v>2731</v>
      </c>
      <c r="C465" s="42" t="s">
        <v>2732</v>
      </c>
      <c r="D465" s="42" t="s">
        <v>2733</v>
      </c>
      <c r="E465" s="42" t="s">
        <v>2734</v>
      </c>
      <c r="F465" s="42" t="s">
        <v>2735</v>
      </c>
      <c r="G465" s="43" t="s">
        <v>2736</v>
      </c>
    </row>
    <row r="466">
      <c r="A466" s="112" t="s">
        <v>2522</v>
      </c>
      <c r="B466" s="112" t="s">
        <v>2737</v>
      </c>
      <c r="C466" s="112" t="s">
        <v>2738</v>
      </c>
      <c r="D466" s="114"/>
      <c r="E466" s="112" t="s">
        <v>2739</v>
      </c>
      <c r="F466" s="112" t="s">
        <v>2740</v>
      </c>
      <c r="G466" s="112" t="s">
        <v>2741</v>
      </c>
    </row>
    <row r="467">
      <c r="A467" s="116" t="s">
        <v>2742</v>
      </c>
      <c r="B467" s="116" t="s">
        <v>2743</v>
      </c>
      <c r="C467" s="116" t="s">
        <v>2744</v>
      </c>
      <c r="D467" s="116" t="s">
        <v>2745</v>
      </c>
      <c r="E467" s="116" t="s">
        <v>2746</v>
      </c>
      <c r="F467" s="116" t="s">
        <v>2747</v>
      </c>
      <c r="G467" s="117" t="s">
        <v>2748</v>
      </c>
    </row>
    <row r="468">
      <c r="A468" s="118" t="s">
        <v>2742</v>
      </c>
      <c r="B468" s="118" t="s">
        <v>2749</v>
      </c>
      <c r="C468" s="118" t="s">
        <v>2750</v>
      </c>
      <c r="D468" s="118" t="s">
        <v>2751</v>
      </c>
      <c r="E468" s="118" t="s">
        <v>2752</v>
      </c>
      <c r="F468" s="118" t="s">
        <v>2753</v>
      </c>
      <c r="G468" s="119" t="s">
        <v>2754</v>
      </c>
    </row>
    <row r="469">
      <c r="A469" s="116" t="s">
        <v>2742</v>
      </c>
      <c r="B469" s="116" t="s">
        <v>2755</v>
      </c>
      <c r="C469" s="116" t="s">
        <v>2756</v>
      </c>
      <c r="D469" s="116" t="s">
        <v>2757</v>
      </c>
      <c r="E469" s="116" t="s">
        <v>2758</v>
      </c>
      <c r="F469" s="116" t="s">
        <v>2759</v>
      </c>
      <c r="G469" s="117" t="s">
        <v>2760</v>
      </c>
    </row>
    <row r="470">
      <c r="A470" s="118" t="s">
        <v>2742</v>
      </c>
      <c r="B470" s="118" t="s">
        <v>2761</v>
      </c>
      <c r="C470" s="118" t="s">
        <v>2762</v>
      </c>
      <c r="D470" s="118" t="s">
        <v>2763</v>
      </c>
      <c r="E470" s="118" t="s">
        <v>2764</v>
      </c>
      <c r="F470" s="118" t="s">
        <v>2765</v>
      </c>
      <c r="G470" s="119" t="s">
        <v>2766</v>
      </c>
    </row>
    <row r="471">
      <c r="A471" s="116" t="s">
        <v>2742</v>
      </c>
      <c r="B471" s="116" t="s">
        <v>2767</v>
      </c>
      <c r="C471" s="116" t="s">
        <v>2768</v>
      </c>
      <c r="D471" s="116" t="s">
        <v>2769</v>
      </c>
      <c r="E471" s="116" t="s">
        <v>2770</v>
      </c>
      <c r="F471" s="116" t="s">
        <v>2771</v>
      </c>
      <c r="G471" s="117" t="s">
        <v>2772</v>
      </c>
    </row>
    <row r="472">
      <c r="A472" s="118" t="s">
        <v>2742</v>
      </c>
      <c r="B472" s="118" t="s">
        <v>2773</v>
      </c>
      <c r="C472" s="118" t="s">
        <v>2774</v>
      </c>
      <c r="D472" s="118" t="s">
        <v>2775</v>
      </c>
      <c r="E472" s="118" t="s">
        <v>2776</v>
      </c>
      <c r="F472" s="118" t="s">
        <v>2777</v>
      </c>
      <c r="G472" s="119" t="s">
        <v>2778</v>
      </c>
    </row>
    <row r="473">
      <c r="A473" s="116" t="s">
        <v>2742</v>
      </c>
      <c r="B473" s="116" t="s">
        <v>2779</v>
      </c>
      <c r="C473" s="116" t="s">
        <v>2780</v>
      </c>
      <c r="D473" s="116" t="s">
        <v>2781</v>
      </c>
      <c r="E473" s="116" t="s">
        <v>2782</v>
      </c>
      <c r="F473" s="116" t="s">
        <v>2783</v>
      </c>
      <c r="G473" s="117" t="s">
        <v>2784</v>
      </c>
    </row>
    <row r="474">
      <c r="A474" s="118" t="s">
        <v>2742</v>
      </c>
      <c r="B474" s="118" t="s">
        <v>2785</v>
      </c>
      <c r="C474" s="118" t="s">
        <v>2786</v>
      </c>
      <c r="D474" s="118" t="s">
        <v>2787</v>
      </c>
      <c r="E474" s="118" t="s">
        <v>2788</v>
      </c>
      <c r="F474" s="118" t="s">
        <v>2789</v>
      </c>
      <c r="G474" s="119" t="s">
        <v>2790</v>
      </c>
    </row>
    <row r="475">
      <c r="A475" s="116" t="s">
        <v>2742</v>
      </c>
      <c r="B475" s="116" t="s">
        <v>2791</v>
      </c>
      <c r="C475" s="116" t="s">
        <v>2792</v>
      </c>
      <c r="D475" s="116" t="s">
        <v>2793</v>
      </c>
      <c r="E475" s="116" t="s">
        <v>2794</v>
      </c>
      <c r="F475" s="116" t="s">
        <v>2795</v>
      </c>
      <c r="G475" s="117" t="s">
        <v>2796</v>
      </c>
    </row>
    <row r="476">
      <c r="A476" s="118" t="s">
        <v>2742</v>
      </c>
      <c r="B476" s="118" t="s">
        <v>2797</v>
      </c>
      <c r="C476" s="118" t="s">
        <v>2798</v>
      </c>
      <c r="D476" s="118" t="s">
        <v>2799</v>
      </c>
      <c r="E476" s="118" t="s">
        <v>2800</v>
      </c>
      <c r="F476" s="118" t="s">
        <v>2801</v>
      </c>
      <c r="G476" s="119" t="s">
        <v>2802</v>
      </c>
    </row>
    <row r="477">
      <c r="A477" s="116" t="s">
        <v>2742</v>
      </c>
      <c r="B477" s="116" t="s">
        <v>2803</v>
      </c>
      <c r="C477" s="116" t="s">
        <v>2804</v>
      </c>
      <c r="D477" s="116" t="s">
        <v>2805</v>
      </c>
      <c r="E477" s="116" t="s">
        <v>2806</v>
      </c>
      <c r="F477" s="116" t="s">
        <v>2807</v>
      </c>
      <c r="G477" s="117" t="s">
        <v>2808</v>
      </c>
    </row>
    <row r="478">
      <c r="A478" s="118" t="s">
        <v>2742</v>
      </c>
      <c r="B478" s="118" t="s">
        <v>2809</v>
      </c>
      <c r="C478" s="118" t="s">
        <v>2810</v>
      </c>
      <c r="D478" s="118" t="s">
        <v>2811</v>
      </c>
      <c r="E478" s="118" t="s">
        <v>2812</v>
      </c>
      <c r="F478" s="118" t="s">
        <v>2813</v>
      </c>
      <c r="G478" s="119" t="s">
        <v>2814</v>
      </c>
    </row>
    <row r="479">
      <c r="A479" s="116" t="s">
        <v>2742</v>
      </c>
      <c r="B479" s="116" t="s">
        <v>2815</v>
      </c>
      <c r="C479" s="116" t="s">
        <v>2816</v>
      </c>
      <c r="D479" s="116" t="s">
        <v>2817</v>
      </c>
      <c r="E479" s="116" t="s">
        <v>2818</v>
      </c>
      <c r="F479" s="116" t="s">
        <v>2819</v>
      </c>
      <c r="G479" s="117" t="s">
        <v>2820</v>
      </c>
    </row>
    <row r="480">
      <c r="A480" s="118" t="s">
        <v>2742</v>
      </c>
      <c r="B480" s="118" t="s">
        <v>2821</v>
      </c>
      <c r="C480" s="118" t="s">
        <v>2822</v>
      </c>
      <c r="D480" s="118" t="s">
        <v>2823</v>
      </c>
      <c r="E480" s="118" t="s">
        <v>2824</v>
      </c>
      <c r="F480" s="118" t="s">
        <v>2825</v>
      </c>
      <c r="G480" s="119" t="s">
        <v>2826</v>
      </c>
    </row>
    <row r="481">
      <c r="A481" s="116" t="s">
        <v>2742</v>
      </c>
      <c r="B481" s="116" t="s">
        <v>2827</v>
      </c>
      <c r="C481" s="116" t="s">
        <v>2828</v>
      </c>
      <c r="D481" s="116" t="s">
        <v>2829</v>
      </c>
      <c r="E481" s="116" t="s">
        <v>2830</v>
      </c>
      <c r="F481" s="116" t="s">
        <v>2831</v>
      </c>
      <c r="G481" s="117" t="s">
        <v>2832</v>
      </c>
    </row>
    <row r="482">
      <c r="A482" s="118" t="s">
        <v>2742</v>
      </c>
      <c r="B482" s="118" t="s">
        <v>2833</v>
      </c>
      <c r="C482" s="118" t="s">
        <v>2834</v>
      </c>
      <c r="D482" s="118" t="s">
        <v>2835</v>
      </c>
      <c r="E482" s="118" t="s">
        <v>2836</v>
      </c>
      <c r="F482" s="118" t="s">
        <v>2837</v>
      </c>
      <c r="G482" s="119" t="s">
        <v>2838</v>
      </c>
    </row>
    <row r="483">
      <c r="A483" s="116" t="s">
        <v>2742</v>
      </c>
      <c r="B483" s="116" t="s">
        <v>2839</v>
      </c>
      <c r="C483" s="116" t="s">
        <v>2840</v>
      </c>
      <c r="D483" s="116" t="s">
        <v>2841</v>
      </c>
      <c r="E483" s="116" t="s">
        <v>2842</v>
      </c>
      <c r="F483" s="116" t="s">
        <v>2843</v>
      </c>
      <c r="G483" s="117" t="s">
        <v>2844</v>
      </c>
    </row>
    <row r="484">
      <c r="A484" s="118" t="s">
        <v>2742</v>
      </c>
      <c r="B484" s="118" t="s">
        <v>649</v>
      </c>
      <c r="C484" s="118" t="s">
        <v>2845</v>
      </c>
      <c r="D484" s="118" t="s">
        <v>2846</v>
      </c>
      <c r="E484" s="118" t="s">
        <v>2847</v>
      </c>
      <c r="F484" s="118" t="s">
        <v>2848</v>
      </c>
      <c r="G484" s="119" t="s">
        <v>2849</v>
      </c>
    </row>
    <row r="485">
      <c r="A485" s="116" t="s">
        <v>2742</v>
      </c>
      <c r="B485" s="116" t="s">
        <v>2850</v>
      </c>
      <c r="C485" s="116" t="s">
        <v>2851</v>
      </c>
      <c r="D485" s="116" t="s">
        <v>2852</v>
      </c>
      <c r="E485" s="116" t="s">
        <v>2853</v>
      </c>
      <c r="F485" s="116" t="s">
        <v>2854</v>
      </c>
      <c r="G485" s="117" t="s">
        <v>2855</v>
      </c>
    </row>
    <row r="486">
      <c r="A486" s="118" t="s">
        <v>2742</v>
      </c>
      <c r="B486" s="118" t="s">
        <v>2856</v>
      </c>
      <c r="C486" s="118" t="s">
        <v>2857</v>
      </c>
      <c r="D486" s="118" t="s">
        <v>2858</v>
      </c>
      <c r="E486" s="118" t="s">
        <v>2859</v>
      </c>
      <c r="F486" s="118" t="s">
        <v>2860</v>
      </c>
      <c r="G486" s="119" t="s">
        <v>2861</v>
      </c>
    </row>
    <row r="487">
      <c r="A487" s="116" t="s">
        <v>2742</v>
      </c>
      <c r="B487" s="116" t="s">
        <v>2862</v>
      </c>
      <c r="C487" s="116" t="s">
        <v>2863</v>
      </c>
      <c r="D487" s="116" t="s">
        <v>2864</v>
      </c>
      <c r="E487" s="116" t="s">
        <v>2865</v>
      </c>
      <c r="F487" s="120"/>
      <c r="G487" s="117" t="s">
        <v>2866</v>
      </c>
    </row>
    <row r="488">
      <c r="A488" s="118" t="s">
        <v>2742</v>
      </c>
      <c r="B488" s="118" t="s">
        <v>2867</v>
      </c>
      <c r="C488" s="118" t="s">
        <v>2868</v>
      </c>
      <c r="D488" s="118" t="s">
        <v>2869</v>
      </c>
      <c r="E488" s="118" t="s">
        <v>2870</v>
      </c>
      <c r="F488" s="118" t="s">
        <v>2871</v>
      </c>
      <c r="G488" s="119" t="s">
        <v>2872</v>
      </c>
    </row>
    <row r="489">
      <c r="A489" s="116" t="s">
        <v>2742</v>
      </c>
      <c r="B489" s="116" t="s">
        <v>2873</v>
      </c>
      <c r="C489" s="116" t="s">
        <v>2874</v>
      </c>
      <c r="D489" s="116" t="s">
        <v>2875</v>
      </c>
      <c r="E489" s="116" t="s">
        <v>2876</v>
      </c>
      <c r="F489" s="116" t="s">
        <v>2877</v>
      </c>
      <c r="G489" s="117" t="s">
        <v>2878</v>
      </c>
    </row>
    <row r="490">
      <c r="A490" s="118" t="s">
        <v>2742</v>
      </c>
      <c r="B490" s="118" t="s">
        <v>2879</v>
      </c>
      <c r="C490" s="118" t="s">
        <v>2880</v>
      </c>
      <c r="D490" s="118" t="s">
        <v>2881</v>
      </c>
      <c r="E490" s="118" t="s">
        <v>2882</v>
      </c>
      <c r="F490" s="118" t="s">
        <v>2883</v>
      </c>
      <c r="G490" s="119" t="s">
        <v>2884</v>
      </c>
    </row>
    <row r="491">
      <c r="A491" s="116" t="s">
        <v>2742</v>
      </c>
      <c r="B491" s="116" t="s">
        <v>2885</v>
      </c>
      <c r="C491" s="116" t="s">
        <v>2886</v>
      </c>
      <c r="D491" s="116" t="s">
        <v>2887</v>
      </c>
      <c r="E491" s="116" t="s">
        <v>2888</v>
      </c>
      <c r="F491" s="116" t="s">
        <v>2889</v>
      </c>
      <c r="G491" s="117" t="s">
        <v>2890</v>
      </c>
    </row>
    <row r="492">
      <c r="A492" s="118" t="s">
        <v>2742</v>
      </c>
      <c r="B492" s="118" t="s">
        <v>2891</v>
      </c>
      <c r="C492" s="118" t="s">
        <v>2892</v>
      </c>
      <c r="D492" s="118" t="s">
        <v>2893</v>
      </c>
      <c r="E492" s="118" t="s">
        <v>2894</v>
      </c>
      <c r="F492" s="118" t="s">
        <v>2895</v>
      </c>
      <c r="G492" s="119" t="s">
        <v>2896</v>
      </c>
    </row>
    <row r="493">
      <c r="A493" s="116" t="s">
        <v>2742</v>
      </c>
      <c r="B493" s="116" t="s">
        <v>2897</v>
      </c>
      <c r="C493" s="116" t="s">
        <v>2898</v>
      </c>
      <c r="D493" s="116" t="s">
        <v>2899</v>
      </c>
      <c r="E493" s="116" t="s">
        <v>2900</v>
      </c>
      <c r="F493" s="116" t="s">
        <v>2901</v>
      </c>
      <c r="G493" s="117" t="s">
        <v>2902</v>
      </c>
    </row>
    <row r="494">
      <c r="A494" s="118" t="s">
        <v>2742</v>
      </c>
      <c r="B494" s="118" t="s">
        <v>2903</v>
      </c>
      <c r="C494" s="118" t="s">
        <v>2904</v>
      </c>
      <c r="D494" s="118" t="s">
        <v>2905</v>
      </c>
      <c r="E494" s="118" t="s">
        <v>2906</v>
      </c>
      <c r="F494" s="118" t="s">
        <v>2907</v>
      </c>
      <c r="G494" s="119" t="s">
        <v>2908</v>
      </c>
    </row>
    <row r="495">
      <c r="A495" s="116" t="s">
        <v>2742</v>
      </c>
      <c r="B495" s="116" t="s">
        <v>2909</v>
      </c>
      <c r="C495" s="116" t="s">
        <v>2910</v>
      </c>
      <c r="D495" s="116" t="s">
        <v>2911</v>
      </c>
      <c r="E495" s="116" t="s">
        <v>2912</v>
      </c>
      <c r="F495" s="116" t="s">
        <v>2913</v>
      </c>
      <c r="G495" s="117" t="s">
        <v>2914</v>
      </c>
    </row>
    <row r="496">
      <c r="A496" s="118" t="s">
        <v>2742</v>
      </c>
      <c r="B496" s="118" t="s">
        <v>2915</v>
      </c>
      <c r="C496" s="118" t="s">
        <v>2916</v>
      </c>
      <c r="D496" s="118" t="s">
        <v>2917</v>
      </c>
      <c r="E496" s="118" t="s">
        <v>2918</v>
      </c>
      <c r="F496" s="118" t="s">
        <v>2919</v>
      </c>
      <c r="G496" s="119" t="s">
        <v>2920</v>
      </c>
    </row>
    <row r="497">
      <c r="A497" s="121" t="s">
        <v>2921</v>
      </c>
      <c r="B497" s="121" t="s">
        <v>105</v>
      </c>
      <c r="C497" s="121" t="s">
        <v>2922</v>
      </c>
      <c r="D497" s="121" t="s">
        <v>2923</v>
      </c>
      <c r="E497" s="121" t="s">
        <v>2924</v>
      </c>
      <c r="F497" s="121" t="s">
        <v>2925</v>
      </c>
      <c r="G497" s="122" t="s">
        <v>2926</v>
      </c>
    </row>
    <row r="498">
      <c r="A498" s="118" t="s">
        <v>2921</v>
      </c>
      <c r="B498" s="118" t="s">
        <v>2927</v>
      </c>
      <c r="C498" s="118" t="s">
        <v>2928</v>
      </c>
      <c r="D498" s="118" t="s">
        <v>2929</v>
      </c>
      <c r="E498" s="118" t="s">
        <v>2930</v>
      </c>
      <c r="F498" s="118" t="s">
        <v>2931</v>
      </c>
      <c r="G498" s="119" t="s">
        <v>2932</v>
      </c>
    </row>
    <row r="499">
      <c r="A499" s="121" t="s">
        <v>2921</v>
      </c>
      <c r="B499" s="121" t="s">
        <v>2933</v>
      </c>
      <c r="C499" s="121" t="s">
        <v>2934</v>
      </c>
      <c r="D499" s="121" t="s">
        <v>2935</v>
      </c>
      <c r="E499" s="121" t="s">
        <v>2936</v>
      </c>
      <c r="F499" s="121" t="s">
        <v>2937</v>
      </c>
      <c r="G499" s="122" t="s">
        <v>2938</v>
      </c>
    </row>
    <row r="500">
      <c r="A500" s="118" t="s">
        <v>2921</v>
      </c>
      <c r="B500" s="118" t="s">
        <v>2939</v>
      </c>
      <c r="C500" s="118" t="s">
        <v>2940</v>
      </c>
      <c r="D500" s="123"/>
      <c r="E500" s="123"/>
      <c r="F500" s="123"/>
      <c r="G500" s="119" t="s">
        <v>2941</v>
      </c>
    </row>
    <row r="501">
      <c r="A501" s="121" t="s">
        <v>2921</v>
      </c>
      <c r="B501" s="121" t="s">
        <v>2942</v>
      </c>
      <c r="C501" s="121" t="s">
        <v>2943</v>
      </c>
      <c r="D501" s="121" t="s">
        <v>2944</v>
      </c>
      <c r="E501" s="121" t="s">
        <v>2945</v>
      </c>
      <c r="F501" s="124"/>
      <c r="G501" s="122" t="s">
        <v>2946</v>
      </c>
    </row>
    <row r="502">
      <c r="A502" s="118" t="s">
        <v>2921</v>
      </c>
      <c r="B502" s="118" t="s">
        <v>2947</v>
      </c>
      <c r="C502" s="118" t="s">
        <v>2948</v>
      </c>
      <c r="D502" s="118" t="s">
        <v>2949</v>
      </c>
      <c r="E502" s="123" t="str">
        <f>+90 474 413 40 73</f>
        <v>#ERROR!</v>
      </c>
      <c r="F502" s="118" t="s">
        <v>2950</v>
      </c>
      <c r="G502" s="119" t="s">
        <v>2951</v>
      </c>
    </row>
    <row r="503">
      <c r="A503" s="121" t="s">
        <v>2921</v>
      </c>
      <c r="B503" s="121" t="s">
        <v>2952</v>
      </c>
      <c r="C503" s="121" t="s">
        <v>2953</v>
      </c>
      <c r="D503" s="121" t="s">
        <v>2954</v>
      </c>
      <c r="E503" s="121" t="s">
        <v>2955</v>
      </c>
      <c r="F503" s="121" t="s">
        <v>2956</v>
      </c>
      <c r="G503" s="122" t="s">
        <v>2957</v>
      </c>
    </row>
    <row r="504">
      <c r="A504" s="118" t="s">
        <v>2921</v>
      </c>
      <c r="B504" s="118" t="s">
        <v>2958</v>
      </c>
      <c r="C504" s="118" t="s">
        <v>2959</v>
      </c>
      <c r="D504" s="118" t="s">
        <v>2960</v>
      </c>
      <c r="E504" s="118" t="s">
        <v>2961</v>
      </c>
      <c r="F504" s="123"/>
      <c r="G504" s="119" t="s">
        <v>2962</v>
      </c>
    </row>
    <row r="505">
      <c r="A505" s="125" t="s">
        <v>2963</v>
      </c>
      <c r="B505" s="125" t="s">
        <v>105</v>
      </c>
      <c r="C505" s="125" t="s">
        <v>2964</v>
      </c>
      <c r="D505" s="126" t="s">
        <v>2965</v>
      </c>
      <c r="E505" s="125" t="s">
        <v>2966</v>
      </c>
      <c r="F505" s="126" t="s">
        <v>2967</v>
      </c>
      <c r="G505" s="127" t="s">
        <v>2968</v>
      </c>
    </row>
    <row r="506">
      <c r="A506" s="128" t="s">
        <v>2963</v>
      </c>
      <c r="B506" s="128" t="s">
        <v>2969</v>
      </c>
      <c r="C506" s="128" t="s">
        <v>2970</v>
      </c>
      <c r="D506" s="129" t="s">
        <v>2971</v>
      </c>
      <c r="E506" s="130" t="str">
        <f>+90 (366) 564 11 65</f>
        <v>#ERROR!</v>
      </c>
      <c r="F506" s="129" t="s">
        <v>2972</v>
      </c>
      <c r="G506" s="131" t="s">
        <v>2973</v>
      </c>
    </row>
    <row r="507">
      <c r="A507" s="125" t="s">
        <v>2963</v>
      </c>
      <c r="B507" s="125" t="s">
        <v>2974</v>
      </c>
      <c r="C507" s="125" t="s">
        <v>2975</v>
      </c>
      <c r="D507" s="126" t="s">
        <v>2976</v>
      </c>
      <c r="E507" s="125" t="s">
        <v>2977</v>
      </c>
      <c r="F507" s="126" t="s">
        <v>2978</v>
      </c>
      <c r="G507" s="127" t="s">
        <v>2979</v>
      </c>
    </row>
    <row r="508">
      <c r="A508" s="128" t="s">
        <v>2963</v>
      </c>
      <c r="B508" s="128" t="s">
        <v>2980</v>
      </c>
      <c r="C508" s="128" t="s">
        <v>2981</v>
      </c>
      <c r="D508" s="129" t="s">
        <v>2982</v>
      </c>
      <c r="E508" s="128" t="s">
        <v>2983</v>
      </c>
      <c r="F508" s="129" t="s">
        <v>2984</v>
      </c>
      <c r="G508" s="131" t="s">
        <v>2985</v>
      </c>
    </row>
    <row r="509">
      <c r="A509" s="125" t="s">
        <v>2963</v>
      </c>
      <c r="B509" s="125" t="s">
        <v>2986</v>
      </c>
      <c r="C509" s="125" t="s">
        <v>2987</v>
      </c>
      <c r="D509" s="126" t="s">
        <v>2988</v>
      </c>
      <c r="E509" s="125" t="s">
        <v>2989</v>
      </c>
      <c r="F509" s="126" t="s">
        <v>2990</v>
      </c>
      <c r="G509" s="127" t="s">
        <v>2991</v>
      </c>
    </row>
    <row r="510">
      <c r="A510" s="128" t="s">
        <v>2963</v>
      </c>
      <c r="B510" s="128" t="s">
        <v>1517</v>
      </c>
      <c r="C510" s="128" t="s">
        <v>2992</v>
      </c>
      <c r="D510" s="129" t="s">
        <v>2993</v>
      </c>
      <c r="E510" s="130" t="str">
        <f>+90 366 575 11 25</f>
        <v>#ERROR!</v>
      </c>
      <c r="F510" s="132"/>
      <c r="G510" s="131" t="s">
        <v>2994</v>
      </c>
    </row>
    <row r="511">
      <c r="A511" s="125" t="s">
        <v>2963</v>
      </c>
      <c r="B511" s="125" t="s">
        <v>2995</v>
      </c>
      <c r="C511" s="125" t="s">
        <v>2996</v>
      </c>
      <c r="D511" s="126" t="s">
        <v>2997</v>
      </c>
      <c r="E511" s="125" t="s">
        <v>2998</v>
      </c>
      <c r="F511" s="126" t="s">
        <v>2999</v>
      </c>
      <c r="G511" s="127" t="s">
        <v>3000</v>
      </c>
    </row>
    <row r="512">
      <c r="A512" s="128" t="s">
        <v>2963</v>
      </c>
      <c r="B512" s="128" t="s">
        <v>3001</v>
      </c>
      <c r="C512" s="128" t="s">
        <v>3002</v>
      </c>
      <c r="D512" s="129" t="s">
        <v>3003</v>
      </c>
      <c r="E512" s="128" t="s">
        <v>3004</v>
      </c>
      <c r="F512" s="129" t="s">
        <v>3005</v>
      </c>
      <c r="G512" s="131" t="s">
        <v>3006</v>
      </c>
    </row>
    <row r="513">
      <c r="A513" s="125" t="s">
        <v>2963</v>
      </c>
      <c r="B513" s="125" t="s">
        <v>3007</v>
      </c>
      <c r="C513" s="125" t="s">
        <v>3008</v>
      </c>
      <c r="D513" s="126" t="s">
        <v>3009</v>
      </c>
      <c r="E513" s="125" t="s">
        <v>3010</v>
      </c>
      <c r="F513" s="126" t="s">
        <v>3011</v>
      </c>
      <c r="G513" s="127" t="s">
        <v>3012</v>
      </c>
    </row>
    <row r="514">
      <c r="A514" s="128" t="s">
        <v>2963</v>
      </c>
      <c r="B514" s="128" t="s">
        <v>3013</v>
      </c>
      <c r="C514" s="128" t="s">
        <v>3014</v>
      </c>
      <c r="D514" s="129" t="s">
        <v>3015</v>
      </c>
      <c r="E514" s="130" t="str">
        <f>+90 366 638 10 13</f>
        <v>#ERROR!</v>
      </c>
      <c r="F514" s="129" t="s">
        <v>3016</v>
      </c>
      <c r="G514" s="131" t="s">
        <v>3017</v>
      </c>
    </row>
    <row r="515">
      <c r="A515" s="125" t="s">
        <v>2963</v>
      </c>
      <c r="B515" s="125" t="s">
        <v>3018</v>
      </c>
      <c r="C515" s="125" t="s">
        <v>3019</v>
      </c>
      <c r="D515" s="126" t="s">
        <v>3020</v>
      </c>
      <c r="E515" s="125" t="s">
        <v>3021</v>
      </c>
      <c r="F515" s="126" t="s">
        <v>3022</v>
      </c>
      <c r="G515" s="127" t="s">
        <v>3023</v>
      </c>
    </row>
    <row r="516">
      <c r="A516" s="128" t="s">
        <v>2963</v>
      </c>
      <c r="B516" s="128" t="s">
        <v>3024</v>
      </c>
      <c r="C516" s="128" t="s">
        <v>3025</v>
      </c>
      <c r="D516" s="129" t="s">
        <v>3026</v>
      </c>
      <c r="E516" s="128" t="s">
        <v>3027</v>
      </c>
      <c r="F516" s="129" t="s">
        <v>3028</v>
      </c>
      <c r="G516" s="131" t="s">
        <v>3029</v>
      </c>
    </row>
    <row r="517">
      <c r="A517" s="125" t="s">
        <v>2963</v>
      </c>
      <c r="B517" s="125" t="s">
        <v>3030</v>
      </c>
      <c r="C517" s="125" t="s">
        <v>3031</v>
      </c>
      <c r="D517" s="126" t="s">
        <v>3032</v>
      </c>
      <c r="E517" s="133" t="str">
        <f>+90 366 392 10 20</f>
        <v>#ERROR!</v>
      </c>
      <c r="F517" s="126" t="s">
        <v>3033</v>
      </c>
      <c r="G517" s="127" t="s">
        <v>3034</v>
      </c>
    </row>
    <row r="518">
      <c r="A518" s="128" t="s">
        <v>2963</v>
      </c>
      <c r="B518" s="128" t="s">
        <v>3035</v>
      </c>
      <c r="C518" s="128" t="s">
        <v>3036</v>
      </c>
      <c r="D518" s="129" t="s">
        <v>3037</v>
      </c>
      <c r="E518" s="130" t="str">
        <f>+90 (366) 811 45 00</f>
        <v>#ERROR!</v>
      </c>
      <c r="F518" s="129" t="s">
        <v>3038</v>
      </c>
      <c r="G518" s="131" t="s">
        <v>3039</v>
      </c>
    </row>
    <row r="519">
      <c r="A519" s="125" t="s">
        <v>2963</v>
      </c>
      <c r="B519" s="125" t="s">
        <v>3040</v>
      </c>
      <c r="C519" s="125" t="s">
        <v>3041</v>
      </c>
      <c r="D519" s="126" t="s">
        <v>3042</v>
      </c>
      <c r="E519" s="125" t="s">
        <v>3043</v>
      </c>
      <c r="F519" s="126" t="s">
        <v>3044</v>
      </c>
      <c r="G519" s="127" t="s">
        <v>3045</v>
      </c>
    </row>
    <row r="520">
      <c r="A520" s="128" t="s">
        <v>2963</v>
      </c>
      <c r="B520" s="128" t="s">
        <v>3046</v>
      </c>
      <c r="C520" s="128" t="s">
        <v>3047</v>
      </c>
      <c r="D520" s="129" t="s">
        <v>3048</v>
      </c>
      <c r="E520" s="128" t="s">
        <v>3049</v>
      </c>
      <c r="F520" s="132"/>
      <c r="G520" s="131" t="s">
        <v>3050</v>
      </c>
    </row>
    <row r="521">
      <c r="A521" s="125" t="s">
        <v>2963</v>
      </c>
      <c r="B521" s="125" t="s">
        <v>3051</v>
      </c>
      <c r="C521" s="125" t="s">
        <v>3052</v>
      </c>
      <c r="D521" s="126" t="s">
        <v>3053</v>
      </c>
      <c r="E521" s="125" t="s">
        <v>3054</v>
      </c>
      <c r="F521" s="126" t="s">
        <v>3055</v>
      </c>
      <c r="G521" s="127" t="s">
        <v>3056</v>
      </c>
    </row>
    <row r="522">
      <c r="A522" s="128" t="s">
        <v>2963</v>
      </c>
      <c r="B522" s="128" t="s">
        <v>3057</v>
      </c>
      <c r="C522" s="128" t="s">
        <v>3058</v>
      </c>
      <c r="D522" s="129" t="s">
        <v>3059</v>
      </c>
      <c r="E522" s="128" t="s">
        <v>3060</v>
      </c>
      <c r="F522" s="129" t="s">
        <v>3061</v>
      </c>
      <c r="G522" s="131" t="s">
        <v>3062</v>
      </c>
    </row>
    <row r="523">
      <c r="A523" s="125" t="s">
        <v>2963</v>
      </c>
      <c r="B523" s="125" t="s">
        <v>3063</v>
      </c>
      <c r="C523" s="125" t="s">
        <v>3064</v>
      </c>
      <c r="D523" s="126" t="s">
        <v>3065</v>
      </c>
      <c r="E523" s="125" t="s">
        <v>3066</v>
      </c>
      <c r="F523" s="126" t="s">
        <v>3067</v>
      </c>
      <c r="G523" s="127" t="s">
        <v>3068</v>
      </c>
    </row>
    <row r="524">
      <c r="A524" s="128" t="s">
        <v>2963</v>
      </c>
      <c r="B524" s="128" t="s">
        <v>3069</v>
      </c>
      <c r="C524" s="128" t="s">
        <v>3070</v>
      </c>
      <c r="D524" s="129" t="s">
        <v>3071</v>
      </c>
      <c r="E524" s="128" t="s">
        <v>3072</v>
      </c>
      <c r="F524" s="132"/>
      <c r="G524" s="131" t="s">
        <v>3073</v>
      </c>
    </row>
    <row r="525">
      <c r="A525" s="134" t="s">
        <v>3074</v>
      </c>
      <c r="B525" s="134" t="s">
        <v>105</v>
      </c>
      <c r="C525" s="134" t="s">
        <v>3075</v>
      </c>
      <c r="D525" s="134" t="s">
        <v>3076</v>
      </c>
      <c r="E525" s="134" t="s">
        <v>3077</v>
      </c>
      <c r="F525" s="134" t="s">
        <v>3078</v>
      </c>
      <c r="G525" s="135" t="s">
        <v>3079</v>
      </c>
    </row>
    <row r="526">
      <c r="A526" s="134" t="s">
        <v>3074</v>
      </c>
      <c r="B526" s="134" t="s">
        <v>3080</v>
      </c>
      <c r="C526" s="134" t="s">
        <v>3081</v>
      </c>
      <c r="D526" s="134" t="s">
        <v>3082</v>
      </c>
      <c r="E526" s="134" t="s">
        <v>3083</v>
      </c>
      <c r="F526" s="136"/>
      <c r="G526" s="135" t="s">
        <v>3084</v>
      </c>
    </row>
    <row r="527">
      <c r="A527" s="134" t="s">
        <v>3074</v>
      </c>
      <c r="B527" s="134" t="s">
        <v>3085</v>
      </c>
      <c r="C527" s="134" t="s">
        <v>3086</v>
      </c>
      <c r="D527" s="136"/>
      <c r="E527" s="136"/>
      <c r="F527" s="136"/>
      <c r="G527" s="135" t="s">
        <v>3087</v>
      </c>
    </row>
    <row r="528">
      <c r="A528" s="134" t="s">
        <v>3074</v>
      </c>
      <c r="B528" s="134" t="s">
        <v>3088</v>
      </c>
      <c r="C528" s="134" t="s">
        <v>3089</v>
      </c>
      <c r="D528" s="134" t="s">
        <v>3090</v>
      </c>
      <c r="E528" s="134" t="s">
        <v>3091</v>
      </c>
      <c r="F528" s="136"/>
      <c r="G528" s="135" t="s">
        <v>3092</v>
      </c>
    </row>
    <row r="529">
      <c r="A529" s="134" t="s">
        <v>3074</v>
      </c>
      <c r="B529" s="134" t="s">
        <v>3093</v>
      </c>
      <c r="C529" s="134" t="s">
        <v>3094</v>
      </c>
      <c r="D529" s="134" t="s">
        <v>3095</v>
      </c>
      <c r="E529" s="134" t="s">
        <v>3096</v>
      </c>
      <c r="F529" s="137"/>
      <c r="G529" s="135" t="s">
        <v>3097</v>
      </c>
    </row>
    <row r="530">
      <c r="A530" s="134" t="s">
        <v>3074</v>
      </c>
      <c r="B530" s="134" t="s">
        <v>3098</v>
      </c>
      <c r="C530" s="134" t="s">
        <v>3099</v>
      </c>
      <c r="D530" s="134" t="s">
        <v>3100</v>
      </c>
      <c r="E530" s="134" t="s">
        <v>3101</v>
      </c>
      <c r="F530" s="137"/>
      <c r="G530" s="135" t="s">
        <v>3102</v>
      </c>
    </row>
    <row r="531">
      <c r="A531" s="134" t="s">
        <v>3074</v>
      </c>
      <c r="B531" s="134" t="s">
        <v>3103</v>
      </c>
      <c r="C531" s="134" t="s">
        <v>3104</v>
      </c>
      <c r="D531" s="134" t="s">
        <v>3105</v>
      </c>
      <c r="E531" s="134" t="s">
        <v>3106</v>
      </c>
      <c r="F531" s="136"/>
      <c r="G531" s="135" t="s">
        <v>3107</v>
      </c>
    </row>
    <row r="532">
      <c r="A532" s="134" t="s">
        <v>3074</v>
      </c>
      <c r="B532" s="134" t="s">
        <v>3108</v>
      </c>
      <c r="C532" s="134" t="s">
        <v>3109</v>
      </c>
      <c r="D532" s="134" t="s">
        <v>3110</v>
      </c>
      <c r="E532" s="134" t="s">
        <v>3111</v>
      </c>
      <c r="F532" s="134" t="s">
        <v>3112</v>
      </c>
      <c r="G532" s="135" t="s">
        <v>3113</v>
      </c>
    </row>
    <row r="533">
      <c r="A533" s="134" t="s">
        <v>3074</v>
      </c>
      <c r="B533" s="134" t="s">
        <v>3114</v>
      </c>
      <c r="C533" s="134" t="s">
        <v>3115</v>
      </c>
      <c r="D533" s="134" t="s">
        <v>3116</v>
      </c>
      <c r="E533" s="134" t="s">
        <v>3117</v>
      </c>
      <c r="F533" s="134" t="s">
        <v>3118</v>
      </c>
      <c r="G533" s="135" t="s">
        <v>3119</v>
      </c>
    </row>
    <row r="534">
      <c r="A534" s="118" t="s">
        <v>3120</v>
      </c>
      <c r="B534" s="118" t="s">
        <v>3121</v>
      </c>
      <c r="C534" s="118" t="s">
        <v>3122</v>
      </c>
      <c r="D534" s="118" t="s">
        <v>3123</v>
      </c>
      <c r="E534" s="118" t="s">
        <v>3124</v>
      </c>
      <c r="F534" s="123"/>
      <c r="G534" s="119" t="s">
        <v>3125</v>
      </c>
    </row>
    <row r="535">
      <c r="A535" s="116" t="s">
        <v>3120</v>
      </c>
      <c r="B535" s="116" t="s">
        <v>3046</v>
      </c>
      <c r="C535" s="116" t="s">
        <v>3126</v>
      </c>
      <c r="D535" s="116" t="s">
        <v>3127</v>
      </c>
      <c r="E535" s="116" t="s">
        <v>3128</v>
      </c>
      <c r="F535" s="116" t="s">
        <v>3129</v>
      </c>
      <c r="G535" s="117" t="s">
        <v>3130</v>
      </c>
    </row>
    <row r="536">
      <c r="A536" s="118" t="s">
        <v>3120</v>
      </c>
      <c r="B536" s="118" t="s">
        <v>3131</v>
      </c>
      <c r="C536" s="118" t="s">
        <v>3132</v>
      </c>
      <c r="D536" s="118" t="s">
        <v>3133</v>
      </c>
      <c r="E536" s="118" t="s">
        <v>3134</v>
      </c>
      <c r="F536" s="118" t="s">
        <v>3135</v>
      </c>
      <c r="G536" s="119" t="s">
        <v>3136</v>
      </c>
    </row>
    <row r="537">
      <c r="A537" s="116" t="s">
        <v>3120</v>
      </c>
      <c r="B537" s="116" t="s">
        <v>3137</v>
      </c>
      <c r="C537" s="116" t="s">
        <v>3138</v>
      </c>
      <c r="D537" s="116" t="s">
        <v>3139</v>
      </c>
      <c r="E537" s="120" t="str">
        <f>+90 (0352) 561 21 81</f>
        <v>#ERROR!</v>
      </c>
      <c r="F537" s="120"/>
      <c r="G537" s="117" t="s">
        <v>3140</v>
      </c>
    </row>
    <row r="538">
      <c r="A538" s="118" t="s">
        <v>3120</v>
      </c>
      <c r="B538" s="118" t="s">
        <v>3141</v>
      </c>
      <c r="C538" s="118" t="s">
        <v>3142</v>
      </c>
      <c r="D538" s="118" t="s">
        <v>3143</v>
      </c>
      <c r="E538" s="123" t="str">
        <f>+90 352 661 29 29</f>
        <v>#ERROR!</v>
      </c>
      <c r="F538" s="118" t="s">
        <v>3144</v>
      </c>
      <c r="G538" s="119" t="s">
        <v>3145</v>
      </c>
    </row>
    <row r="539">
      <c r="A539" s="116" t="s">
        <v>3120</v>
      </c>
      <c r="B539" s="116" t="s">
        <v>3146</v>
      </c>
      <c r="C539" s="116" t="s">
        <v>3147</v>
      </c>
      <c r="D539" s="116" t="s">
        <v>3148</v>
      </c>
      <c r="E539" s="116" t="s">
        <v>3149</v>
      </c>
      <c r="F539" s="116" t="s">
        <v>3150</v>
      </c>
      <c r="G539" s="117" t="s">
        <v>3151</v>
      </c>
    </row>
    <row r="540">
      <c r="A540" s="118" t="s">
        <v>3120</v>
      </c>
      <c r="B540" s="118" t="s">
        <v>3152</v>
      </c>
      <c r="C540" s="118" t="s">
        <v>3153</v>
      </c>
      <c r="D540" s="118" t="s">
        <v>3154</v>
      </c>
      <c r="E540" s="118" t="s">
        <v>3155</v>
      </c>
      <c r="F540" s="118" t="s">
        <v>3156</v>
      </c>
      <c r="G540" s="119" t="s">
        <v>3157</v>
      </c>
    </row>
    <row r="541">
      <c r="A541" s="72" t="s">
        <v>3158</v>
      </c>
      <c r="B541" s="72" t="s">
        <v>3159</v>
      </c>
      <c r="C541" s="72" t="s">
        <v>3160</v>
      </c>
      <c r="D541" s="72" t="s">
        <v>3161</v>
      </c>
      <c r="E541" s="72" t="s">
        <v>3162</v>
      </c>
      <c r="F541" s="72" t="s">
        <v>3163</v>
      </c>
      <c r="G541" s="73" t="s">
        <v>3164</v>
      </c>
    </row>
    <row r="542">
      <c r="A542" s="74" t="s">
        <v>3158</v>
      </c>
      <c r="B542" s="74" t="s">
        <v>3165</v>
      </c>
      <c r="C542" s="74" t="s">
        <v>3166</v>
      </c>
      <c r="D542" s="74" t="s">
        <v>3167</v>
      </c>
      <c r="E542" s="74" t="s">
        <v>3168</v>
      </c>
      <c r="F542" s="74" t="s">
        <v>3169</v>
      </c>
      <c r="G542" s="75" t="s">
        <v>3170</v>
      </c>
    </row>
    <row r="543">
      <c r="A543" s="72" t="s">
        <v>3158</v>
      </c>
      <c r="B543" s="72" t="s">
        <v>3171</v>
      </c>
      <c r="C543" s="72" t="s">
        <v>3172</v>
      </c>
      <c r="D543" s="72" t="s">
        <v>3173</v>
      </c>
      <c r="E543" s="72" t="s">
        <v>3174</v>
      </c>
      <c r="F543" s="72" t="s">
        <v>3175</v>
      </c>
      <c r="G543" s="73" t="s">
        <v>3176</v>
      </c>
    </row>
    <row r="544">
      <c r="A544" s="74" t="s">
        <v>3158</v>
      </c>
      <c r="B544" s="74" t="s">
        <v>3177</v>
      </c>
      <c r="C544" s="74" t="s">
        <v>3178</v>
      </c>
      <c r="D544" s="74" t="s">
        <v>3179</v>
      </c>
      <c r="E544" s="74" t="s">
        <v>3180</v>
      </c>
      <c r="F544" s="74" t="s">
        <v>3181</v>
      </c>
      <c r="G544" s="75" t="s">
        <v>3182</v>
      </c>
    </row>
    <row r="545">
      <c r="A545" s="72" t="s">
        <v>3158</v>
      </c>
      <c r="B545" s="72" t="s">
        <v>3183</v>
      </c>
      <c r="C545" s="72" t="s">
        <v>3184</v>
      </c>
      <c r="D545" s="72" t="s">
        <v>3185</v>
      </c>
      <c r="E545" s="72" t="s">
        <v>3186</v>
      </c>
      <c r="F545" s="72" t="s">
        <v>3187</v>
      </c>
      <c r="G545" s="73" t="s">
        <v>3188</v>
      </c>
    </row>
    <row r="546">
      <c r="A546" s="74" t="s">
        <v>3158</v>
      </c>
      <c r="B546" s="74" t="s">
        <v>3189</v>
      </c>
      <c r="C546" s="74" t="s">
        <v>3190</v>
      </c>
      <c r="D546" s="74" t="s">
        <v>3191</v>
      </c>
      <c r="E546" s="74" t="s">
        <v>3192</v>
      </c>
      <c r="F546" s="74" t="s">
        <v>3193</v>
      </c>
      <c r="G546" s="75" t="s">
        <v>3194</v>
      </c>
    </row>
    <row r="547">
      <c r="A547" s="72" t="s">
        <v>3158</v>
      </c>
      <c r="B547" s="72" t="s">
        <v>3195</v>
      </c>
      <c r="C547" s="72" t="s">
        <v>3196</v>
      </c>
      <c r="D547" s="72" t="s">
        <v>3197</v>
      </c>
      <c r="E547" s="72" t="s">
        <v>3198</v>
      </c>
      <c r="F547" s="72" t="s">
        <v>3199</v>
      </c>
      <c r="G547" s="73" t="s">
        <v>3200</v>
      </c>
    </row>
    <row r="548">
      <c r="A548" s="74" t="s">
        <v>3158</v>
      </c>
      <c r="B548" s="74" t="s">
        <v>3201</v>
      </c>
      <c r="C548" s="74" t="s">
        <v>3202</v>
      </c>
      <c r="D548" s="74" t="s">
        <v>3203</v>
      </c>
      <c r="E548" s="74" t="s">
        <v>3204</v>
      </c>
      <c r="F548" s="74" t="s">
        <v>3205</v>
      </c>
      <c r="G548" s="75" t="s">
        <v>3206</v>
      </c>
    </row>
    <row r="549">
      <c r="A549" s="112" t="s">
        <v>3207</v>
      </c>
      <c r="B549" s="112" t="s">
        <v>105</v>
      </c>
      <c r="C549" s="112" t="s">
        <v>3208</v>
      </c>
      <c r="D549" s="112" t="s">
        <v>3209</v>
      </c>
      <c r="E549" s="112" t="s">
        <v>3210</v>
      </c>
      <c r="F549" s="112" t="s">
        <v>3211</v>
      </c>
      <c r="G549" s="113" t="s">
        <v>3212</v>
      </c>
    </row>
    <row r="550">
      <c r="A550" s="42" t="s">
        <v>3207</v>
      </c>
      <c r="B550" s="42" t="s">
        <v>3213</v>
      </c>
      <c r="C550" s="44"/>
      <c r="D550" s="44"/>
      <c r="E550" s="44"/>
      <c r="F550" s="44"/>
      <c r="G550" s="44"/>
    </row>
    <row r="551">
      <c r="A551" s="112" t="s">
        <v>3207</v>
      </c>
      <c r="B551" s="112" t="s">
        <v>3214</v>
      </c>
      <c r="C551" s="112" t="s">
        <v>3215</v>
      </c>
      <c r="D551" s="114"/>
      <c r="E551" s="114"/>
      <c r="F551" s="114"/>
      <c r="G551" s="113" t="s">
        <v>3216</v>
      </c>
    </row>
    <row r="552">
      <c r="A552" s="42" t="s">
        <v>3207</v>
      </c>
      <c r="B552" s="42" t="s">
        <v>3217</v>
      </c>
      <c r="C552" s="42" t="s">
        <v>3218</v>
      </c>
      <c r="D552" s="44"/>
      <c r="E552" s="44"/>
      <c r="F552" s="44"/>
      <c r="G552" s="43" t="s">
        <v>3219</v>
      </c>
    </row>
    <row r="553">
      <c r="A553" s="112" t="s">
        <v>3207</v>
      </c>
      <c r="B553" s="112" t="s">
        <v>3220</v>
      </c>
      <c r="C553" s="112" t="s">
        <v>3221</v>
      </c>
      <c r="D553" s="114"/>
      <c r="E553" s="114"/>
      <c r="F553" s="114"/>
      <c r="G553" s="113" t="s">
        <v>3222</v>
      </c>
    </row>
    <row r="554">
      <c r="A554" s="42" t="s">
        <v>3207</v>
      </c>
      <c r="B554" s="42" t="s">
        <v>3223</v>
      </c>
      <c r="C554" s="42" t="s">
        <v>3224</v>
      </c>
      <c r="D554" s="42" t="s">
        <v>3225</v>
      </c>
      <c r="E554" s="42" t="s">
        <v>3226</v>
      </c>
      <c r="F554" s="42" t="s">
        <v>3227</v>
      </c>
      <c r="G554" s="43" t="s">
        <v>3228</v>
      </c>
    </row>
    <row r="555">
      <c r="A555" s="112" t="s">
        <v>3207</v>
      </c>
      <c r="B555" s="112" t="s">
        <v>3229</v>
      </c>
      <c r="C555" s="112" t="s">
        <v>3230</v>
      </c>
      <c r="D555" s="114"/>
      <c r="E555" s="112" t="s">
        <v>3231</v>
      </c>
      <c r="F555" s="112" t="s">
        <v>3232</v>
      </c>
      <c r="G555" s="113" t="s">
        <v>3233</v>
      </c>
    </row>
    <row r="556">
      <c r="A556" s="40" t="s">
        <v>3234</v>
      </c>
      <c r="B556" s="40" t="s">
        <v>3235</v>
      </c>
      <c r="C556" s="40" t="s">
        <v>3236</v>
      </c>
      <c r="D556" s="40" t="s">
        <v>3237</v>
      </c>
      <c r="E556" s="40" t="s">
        <v>3238</v>
      </c>
      <c r="F556" s="40" t="s">
        <v>3239</v>
      </c>
      <c r="G556" s="41" t="s">
        <v>3240</v>
      </c>
    </row>
    <row r="557">
      <c r="A557" s="42" t="s">
        <v>3234</v>
      </c>
      <c r="B557" s="42" t="s">
        <v>3241</v>
      </c>
      <c r="C557" s="42" t="s">
        <v>3242</v>
      </c>
      <c r="D557" s="42" t="s">
        <v>3243</v>
      </c>
      <c r="E557" s="42" t="s">
        <v>3244</v>
      </c>
      <c r="F557" s="42" t="s">
        <v>3245</v>
      </c>
      <c r="G557" s="43" t="s">
        <v>3246</v>
      </c>
    </row>
    <row r="558">
      <c r="A558" s="40" t="s">
        <v>3234</v>
      </c>
      <c r="B558" s="40" t="s">
        <v>3247</v>
      </c>
      <c r="C558" s="40" t="s">
        <v>3248</v>
      </c>
      <c r="D558" s="40" t="s">
        <v>3249</v>
      </c>
      <c r="E558" s="40" t="s">
        <v>3250</v>
      </c>
      <c r="F558" s="40" t="s">
        <v>3251</v>
      </c>
      <c r="G558" s="41" t="s">
        <v>3252</v>
      </c>
    </row>
    <row r="559">
      <c r="A559" s="42" t="s">
        <v>3234</v>
      </c>
      <c r="B559" s="42" t="s">
        <v>3253</v>
      </c>
      <c r="C559" s="42" t="s">
        <v>3254</v>
      </c>
      <c r="D559" s="42" t="s">
        <v>3255</v>
      </c>
      <c r="E559" s="42" t="s">
        <v>3256</v>
      </c>
      <c r="F559" s="42" t="s">
        <v>3257</v>
      </c>
      <c r="G559" s="43" t="s">
        <v>3258</v>
      </c>
    </row>
    <row r="560">
      <c r="A560" s="40" t="s">
        <v>3234</v>
      </c>
      <c r="B560" s="40" t="s">
        <v>3259</v>
      </c>
      <c r="C560" s="40" t="s">
        <v>3260</v>
      </c>
      <c r="D560" s="40" t="s">
        <v>3261</v>
      </c>
      <c r="E560" s="40" t="s">
        <v>3262</v>
      </c>
      <c r="F560" s="40" t="s">
        <v>3263</v>
      </c>
      <c r="G560" s="41" t="s">
        <v>3264</v>
      </c>
    </row>
    <row r="561">
      <c r="A561" s="42" t="s">
        <v>3234</v>
      </c>
      <c r="B561" s="42" t="s">
        <v>3265</v>
      </c>
      <c r="C561" s="42" t="s">
        <v>3266</v>
      </c>
      <c r="D561" s="42" t="s">
        <v>3267</v>
      </c>
      <c r="E561" s="44" t="str">
        <f>+90 262 642 04 30</f>
        <v>#ERROR!</v>
      </c>
      <c r="F561" s="42" t="s">
        <v>3268</v>
      </c>
      <c r="G561" s="43" t="s">
        <v>3269</v>
      </c>
    </row>
    <row r="562">
      <c r="A562" s="40" t="s">
        <v>3234</v>
      </c>
      <c r="B562" s="40" t="s">
        <v>3270</v>
      </c>
      <c r="C562" s="40" t="s">
        <v>3271</v>
      </c>
      <c r="D562" s="40" t="s">
        <v>3272</v>
      </c>
      <c r="E562" s="40" t="s">
        <v>3273</v>
      </c>
      <c r="F562" s="40" t="s">
        <v>3274</v>
      </c>
      <c r="G562" s="41" t="s">
        <v>3275</v>
      </c>
    </row>
    <row r="563">
      <c r="A563" s="42" t="s">
        <v>3234</v>
      </c>
      <c r="B563" s="42" t="s">
        <v>3276</v>
      </c>
      <c r="C563" s="42" t="s">
        <v>3277</v>
      </c>
      <c r="D563" s="42" t="s">
        <v>3278</v>
      </c>
      <c r="E563" s="42" t="s">
        <v>3279</v>
      </c>
      <c r="F563" s="44"/>
      <c r="G563" s="43" t="s">
        <v>3280</v>
      </c>
    </row>
    <row r="564">
      <c r="A564" s="40" t="s">
        <v>3234</v>
      </c>
      <c r="B564" s="40" t="s">
        <v>3281</v>
      </c>
      <c r="C564" s="40" t="s">
        <v>3282</v>
      </c>
      <c r="D564" s="40" t="s">
        <v>3283</v>
      </c>
      <c r="E564" s="40" t="s">
        <v>3284</v>
      </c>
      <c r="F564" s="40" t="s">
        <v>3285</v>
      </c>
      <c r="G564" s="41" t="s">
        <v>3286</v>
      </c>
    </row>
    <row r="565">
      <c r="A565" s="42" t="s">
        <v>3234</v>
      </c>
      <c r="B565" s="42" t="s">
        <v>3287</v>
      </c>
      <c r="C565" s="42" t="s">
        <v>3288</v>
      </c>
      <c r="D565" s="42" t="s">
        <v>3289</v>
      </c>
      <c r="E565" s="42" t="s">
        <v>3290</v>
      </c>
      <c r="F565" s="42" t="s">
        <v>3291</v>
      </c>
      <c r="G565" s="43" t="s">
        <v>3292</v>
      </c>
    </row>
    <row r="566">
      <c r="A566" s="40" t="s">
        <v>3234</v>
      </c>
      <c r="B566" s="40" t="s">
        <v>3293</v>
      </c>
      <c r="C566" s="40" t="s">
        <v>3294</v>
      </c>
      <c r="D566" s="40" t="s">
        <v>3295</v>
      </c>
      <c r="E566" s="40" t="s">
        <v>3296</v>
      </c>
      <c r="F566" s="40" t="s">
        <v>3297</v>
      </c>
      <c r="G566" s="41" t="s">
        <v>3298</v>
      </c>
    </row>
    <row r="567">
      <c r="A567" s="42" t="s">
        <v>3234</v>
      </c>
      <c r="B567" s="42" t="s">
        <v>3299</v>
      </c>
      <c r="C567" s="42" t="s">
        <v>3300</v>
      </c>
      <c r="D567" s="42" t="s">
        <v>3301</v>
      </c>
      <c r="E567" s="42" t="s">
        <v>3302</v>
      </c>
      <c r="F567" s="42" t="s">
        <v>3303</v>
      </c>
      <c r="G567" s="43" t="s">
        <v>3304</v>
      </c>
    </row>
    <row r="568">
      <c r="A568" s="138" t="s">
        <v>3305</v>
      </c>
      <c r="B568" s="138" t="s">
        <v>3306</v>
      </c>
      <c r="C568" s="138" t="s">
        <v>3307</v>
      </c>
      <c r="D568" s="138" t="s">
        <v>3308</v>
      </c>
      <c r="E568" s="138" t="s">
        <v>3309</v>
      </c>
      <c r="F568" s="139"/>
      <c r="G568" s="140" t="s">
        <v>3310</v>
      </c>
    </row>
    <row r="569">
      <c r="A569" s="42" t="s">
        <v>3305</v>
      </c>
      <c r="B569" s="42" t="s">
        <v>3311</v>
      </c>
      <c r="C569" s="42" t="s">
        <v>3312</v>
      </c>
      <c r="D569" s="42" t="s">
        <v>3313</v>
      </c>
      <c r="E569" s="42" t="s">
        <v>3314</v>
      </c>
      <c r="F569" s="42" t="s">
        <v>3315</v>
      </c>
      <c r="G569" s="43" t="s">
        <v>3316</v>
      </c>
    </row>
    <row r="570">
      <c r="A570" s="138" t="s">
        <v>3305</v>
      </c>
      <c r="B570" s="138" t="s">
        <v>3317</v>
      </c>
      <c r="C570" s="138" t="s">
        <v>3318</v>
      </c>
      <c r="D570" s="138" t="s">
        <v>3319</v>
      </c>
      <c r="E570" s="138" t="s">
        <v>3320</v>
      </c>
      <c r="F570" s="138" t="s">
        <v>3321</v>
      </c>
      <c r="G570" s="140" t="s">
        <v>3322</v>
      </c>
    </row>
    <row r="571">
      <c r="A571" s="42" t="s">
        <v>3305</v>
      </c>
      <c r="B571" s="42" t="s">
        <v>3323</v>
      </c>
      <c r="C571" s="42" t="s">
        <v>3324</v>
      </c>
      <c r="D571" s="42" t="s">
        <v>3325</v>
      </c>
      <c r="E571" s="42" t="s">
        <v>3326</v>
      </c>
      <c r="F571" s="42" t="s">
        <v>3327</v>
      </c>
      <c r="G571" s="43" t="s">
        <v>3328</v>
      </c>
    </row>
    <row r="572">
      <c r="A572" s="138" t="s">
        <v>3305</v>
      </c>
      <c r="B572" s="138" t="s">
        <v>3329</v>
      </c>
      <c r="C572" s="138" t="s">
        <v>3330</v>
      </c>
      <c r="D572" s="138" t="s">
        <v>3331</v>
      </c>
      <c r="E572" s="138" t="s">
        <v>3332</v>
      </c>
      <c r="F572" s="138" t="s">
        <v>3333</v>
      </c>
      <c r="G572" s="140" t="s">
        <v>3334</v>
      </c>
    </row>
    <row r="573">
      <c r="A573" s="42" t="s">
        <v>3305</v>
      </c>
      <c r="B573" s="42" t="s">
        <v>3335</v>
      </c>
      <c r="C573" s="42" t="s">
        <v>3336</v>
      </c>
      <c r="D573" s="42" t="s">
        <v>3337</v>
      </c>
      <c r="E573" s="42" t="s">
        <v>3338</v>
      </c>
      <c r="F573" s="44"/>
      <c r="G573" s="43" t="s">
        <v>3339</v>
      </c>
    </row>
    <row r="574">
      <c r="A574" s="138" t="s">
        <v>3305</v>
      </c>
      <c r="B574" s="138" t="s">
        <v>3340</v>
      </c>
      <c r="C574" s="138" t="s">
        <v>3341</v>
      </c>
      <c r="D574" s="138" t="s">
        <v>3342</v>
      </c>
      <c r="E574" s="138" t="s">
        <v>3343</v>
      </c>
      <c r="F574" s="138" t="s">
        <v>3344</v>
      </c>
      <c r="G574" s="140" t="s">
        <v>3345</v>
      </c>
    </row>
    <row r="575">
      <c r="A575" s="42" t="s">
        <v>3305</v>
      </c>
      <c r="B575" s="42" t="s">
        <v>3346</v>
      </c>
      <c r="C575" s="42" t="s">
        <v>3347</v>
      </c>
      <c r="D575" s="42" t="s">
        <v>3348</v>
      </c>
      <c r="E575" s="42" t="s">
        <v>3349</v>
      </c>
      <c r="F575" s="42" t="s">
        <v>3350</v>
      </c>
      <c r="G575" s="43" t="s">
        <v>3351</v>
      </c>
    </row>
    <row r="576">
      <c r="A576" s="138" t="s">
        <v>3305</v>
      </c>
      <c r="B576" s="138" t="s">
        <v>3352</v>
      </c>
      <c r="C576" s="138" t="s">
        <v>3353</v>
      </c>
      <c r="D576" s="138" t="s">
        <v>3354</v>
      </c>
      <c r="E576" s="138" t="s">
        <v>3355</v>
      </c>
      <c r="F576" s="138" t="s">
        <v>3356</v>
      </c>
      <c r="G576" s="140" t="s">
        <v>3357</v>
      </c>
    </row>
    <row r="577">
      <c r="A577" s="42" t="s">
        <v>3305</v>
      </c>
      <c r="B577" s="42" t="s">
        <v>3358</v>
      </c>
      <c r="C577" s="42" t="s">
        <v>3359</v>
      </c>
      <c r="D577" s="42" t="s">
        <v>3360</v>
      </c>
      <c r="E577" s="42" t="s">
        <v>3361</v>
      </c>
      <c r="F577" s="44"/>
      <c r="G577" s="43" t="s">
        <v>3362</v>
      </c>
    </row>
    <row r="578">
      <c r="A578" s="138" t="s">
        <v>3305</v>
      </c>
      <c r="B578" s="138" t="s">
        <v>3363</v>
      </c>
      <c r="C578" s="138" t="s">
        <v>3364</v>
      </c>
      <c r="D578" s="138" t="s">
        <v>3365</v>
      </c>
      <c r="E578" s="138" t="s">
        <v>3366</v>
      </c>
      <c r="F578" s="138" t="s">
        <v>3367</v>
      </c>
      <c r="G578" s="140" t="s">
        <v>3368</v>
      </c>
    </row>
    <row r="579">
      <c r="A579" s="42" t="s">
        <v>3305</v>
      </c>
      <c r="B579" s="42" t="s">
        <v>3369</v>
      </c>
      <c r="C579" s="42" t="s">
        <v>3370</v>
      </c>
      <c r="D579" s="42" t="s">
        <v>3371</v>
      </c>
      <c r="E579" s="42" t="s">
        <v>3372</v>
      </c>
      <c r="F579" s="44"/>
      <c r="G579" s="43" t="s">
        <v>3373</v>
      </c>
    </row>
    <row r="580">
      <c r="A580" s="138" t="s">
        <v>3305</v>
      </c>
      <c r="B580" s="138" t="s">
        <v>3374</v>
      </c>
      <c r="C580" s="138" t="s">
        <v>3375</v>
      </c>
      <c r="D580" s="138" t="s">
        <v>3376</v>
      </c>
      <c r="E580" s="138" t="s">
        <v>3377</v>
      </c>
      <c r="F580" s="138" t="s">
        <v>3378</v>
      </c>
      <c r="G580" s="140" t="s">
        <v>3379</v>
      </c>
    </row>
    <row r="581">
      <c r="A581" s="42" t="s">
        <v>3305</v>
      </c>
      <c r="B581" s="42" t="s">
        <v>3380</v>
      </c>
      <c r="C581" s="42" t="s">
        <v>3381</v>
      </c>
      <c r="D581" s="42" t="s">
        <v>3382</v>
      </c>
      <c r="E581" s="42" t="s">
        <v>3383</v>
      </c>
      <c r="F581" s="44"/>
      <c r="G581" s="43" t="s">
        <v>3384</v>
      </c>
    </row>
    <row r="582">
      <c r="A582" s="138" t="s">
        <v>3305</v>
      </c>
      <c r="B582" s="138" t="s">
        <v>3385</v>
      </c>
      <c r="C582" s="138" t="s">
        <v>3002</v>
      </c>
      <c r="D582" s="138" t="s">
        <v>3386</v>
      </c>
      <c r="E582" s="139"/>
      <c r="F582" s="139"/>
      <c r="G582" s="140" t="s">
        <v>3387</v>
      </c>
    </row>
    <row r="583">
      <c r="A583" s="42" t="s">
        <v>3305</v>
      </c>
      <c r="B583" s="42" t="s">
        <v>3388</v>
      </c>
      <c r="C583" s="42" t="s">
        <v>3389</v>
      </c>
      <c r="D583" s="42" t="s">
        <v>3390</v>
      </c>
      <c r="E583" s="42" t="s">
        <v>3391</v>
      </c>
      <c r="F583" s="44"/>
      <c r="G583" s="43" t="s">
        <v>3392</v>
      </c>
    </row>
    <row r="584">
      <c r="A584" s="138" t="s">
        <v>3305</v>
      </c>
      <c r="B584" s="138" t="s">
        <v>3393</v>
      </c>
      <c r="C584" s="138" t="s">
        <v>3394</v>
      </c>
      <c r="D584" s="138" t="s">
        <v>3395</v>
      </c>
      <c r="E584" s="138" t="s">
        <v>3396</v>
      </c>
      <c r="F584" s="139"/>
      <c r="G584" s="140" t="s">
        <v>3397</v>
      </c>
    </row>
    <row r="585">
      <c r="A585" s="42" t="s">
        <v>3305</v>
      </c>
      <c r="B585" s="42" t="s">
        <v>3398</v>
      </c>
      <c r="C585" s="42" t="s">
        <v>3399</v>
      </c>
      <c r="D585" s="42" t="s">
        <v>3400</v>
      </c>
      <c r="E585" s="42" t="s">
        <v>3401</v>
      </c>
      <c r="F585" s="42" t="s">
        <v>3402</v>
      </c>
      <c r="G585" s="43" t="s">
        <v>3403</v>
      </c>
    </row>
    <row r="586">
      <c r="A586" s="138" t="s">
        <v>3305</v>
      </c>
      <c r="B586" s="138" t="s">
        <v>3404</v>
      </c>
      <c r="C586" s="138" t="s">
        <v>3405</v>
      </c>
      <c r="D586" s="138" t="s">
        <v>3406</v>
      </c>
      <c r="E586" s="138" t="s">
        <v>3407</v>
      </c>
      <c r="F586" s="138" t="s">
        <v>3408</v>
      </c>
      <c r="G586" s="140" t="s">
        <v>3409</v>
      </c>
    </row>
    <row r="587">
      <c r="A587" s="42" t="s">
        <v>3305</v>
      </c>
      <c r="B587" s="42" t="s">
        <v>3410</v>
      </c>
      <c r="C587" s="42" t="s">
        <v>3411</v>
      </c>
      <c r="D587" s="42" t="s">
        <v>3412</v>
      </c>
      <c r="E587" s="42" t="s">
        <v>3413</v>
      </c>
      <c r="F587" s="42" t="s">
        <v>3414</v>
      </c>
      <c r="G587" s="43" t="s">
        <v>3415</v>
      </c>
    </row>
    <row r="588">
      <c r="A588" s="138" t="s">
        <v>3305</v>
      </c>
      <c r="B588" s="138" t="s">
        <v>3416</v>
      </c>
      <c r="C588" s="138" t="s">
        <v>3417</v>
      </c>
      <c r="D588" s="138" t="s">
        <v>3418</v>
      </c>
      <c r="E588" s="138" t="s">
        <v>3419</v>
      </c>
      <c r="F588" s="138" t="s">
        <v>3420</v>
      </c>
      <c r="G588" s="140" t="s">
        <v>3421</v>
      </c>
    </row>
    <row r="589">
      <c r="A589" s="42" t="s">
        <v>3305</v>
      </c>
      <c r="B589" s="42" t="s">
        <v>3422</v>
      </c>
      <c r="C589" s="42" t="s">
        <v>3423</v>
      </c>
      <c r="D589" s="42" t="s">
        <v>3424</v>
      </c>
      <c r="E589" s="42" t="s">
        <v>3425</v>
      </c>
      <c r="F589" s="42" t="s">
        <v>3426</v>
      </c>
      <c r="G589" s="43" t="s">
        <v>3427</v>
      </c>
    </row>
    <row r="590">
      <c r="A590" s="138" t="s">
        <v>3305</v>
      </c>
      <c r="B590" s="138" t="s">
        <v>3428</v>
      </c>
      <c r="C590" s="138" t="s">
        <v>3429</v>
      </c>
      <c r="D590" s="138" t="s">
        <v>3430</v>
      </c>
      <c r="E590" s="138" t="s">
        <v>3431</v>
      </c>
      <c r="F590" s="138" t="s">
        <v>3432</v>
      </c>
      <c r="G590" s="140" t="s">
        <v>3433</v>
      </c>
    </row>
    <row r="591">
      <c r="A591" s="42" t="s">
        <v>3305</v>
      </c>
      <c r="B591" s="42" t="s">
        <v>3434</v>
      </c>
      <c r="C591" s="42" t="s">
        <v>3435</v>
      </c>
      <c r="D591" s="42" t="s">
        <v>3436</v>
      </c>
      <c r="E591" s="42" t="s">
        <v>3437</v>
      </c>
      <c r="F591" s="42" t="s">
        <v>3438</v>
      </c>
      <c r="G591" s="43" t="s">
        <v>3439</v>
      </c>
    </row>
    <row r="592">
      <c r="A592" s="138" t="s">
        <v>3305</v>
      </c>
      <c r="B592" s="138" t="s">
        <v>3440</v>
      </c>
      <c r="C592" s="138" t="s">
        <v>3441</v>
      </c>
      <c r="D592" s="138" t="s">
        <v>3442</v>
      </c>
      <c r="E592" s="138" t="s">
        <v>3443</v>
      </c>
      <c r="F592" s="139"/>
      <c r="G592" s="140" t="s">
        <v>3444</v>
      </c>
    </row>
    <row r="593">
      <c r="A593" s="42" t="s">
        <v>3305</v>
      </c>
      <c r="B593" s="42" t="s">
        <v>3445</v>
      </c>
      <c r="C593" s="42" t="s">
        <v>3446</v>
      </c>
      <c r="D593" s="42" t="s">
        <v>3447</v>
      </c>
      <c r="E593" s="42" t="s">
        <v>3448</v>
      </c>
      <c r="F593" s="42" t="s">
        <v>3449</v>
      </c>
      <c r="G593" s="43" t="s">
        <v>3450</v>
      </c>
    </row>
    <row r="594">
      <c r="A594" s="138" t="s">
        <v>3305</v>
      </c>
      <c r="B594" s="138" t="s">
        <v>3451</v>
      </c>
      <c r="C594" s="138" t="s">
        <v>3452</v>
      </c>
      <c r="D594" s="138" t="s">
        <v>3453</v>
      </c>
      <c r="E594" s="138" t="s">
        <v>3454</v>
      </c>
      <c r="F594" s="138" t="s">
        <v>3455</v>
      </c>
      <c r="G594" s="140" t="s">
        <v>3456</v>
      </c>
    </row>
    <row r="595">
      <c r="A595" s="42" t="s">
        <v>3305</v>
      </c>
      <c r="B595" s="42" t="s">
        <v>3457</v>
      </c>
      <c r="C595" s="42" t="s">
        <v>3458</v>
      </c>
      <c r="D595" s="42" t="s">
        <v>3459</v>
      </c>
      <c r="E595" s="42" t="s">
        <v>3460</v>
      </c>
      <c r="F595" s="42" t="s">
        <v>3461</v>
      </c>
      <c r="G595" s="43" t="s">
        <v>3462</v>
      </c>
    </row>
    <row r="596">
      <c r="A596" s="138" t="s">
        <v>3305</v>
      </c>
      <c r="B596" s="138" t="s">
        <v>3463</v>
      </c>
      <c r="C596" s="138" t="s">
        <v>3464</v>
      </c>
      <c r="D596" s="138" t="s">
        <v>3465</v>
      </c>
      <c r="E596" s="138" t="s">
        <v>3466</v>
      </c>
      <c r="F596" s="139"/>
      <c r="G596" s="140" t="s">
        <v>3467</v>
      </c>
    </row>
    <row r="597">
      <c r="A597" s="42" t="s">
        <v>3305</v>
      </c>
      <c r="B597" s="42" t="s">
        <v>3468</v>
      </c>
      <c r="C597" s="42" t="s">
        <v>549</v>
      </c>
      <c r="D597" s="42" t="s">
        <v>3469</v>
      </c>
      <c r="E597" s="42" t="s">
        <v>3470</v>
      </c>
      <c r="F597" s="44"/>
      <c r="G597" s="43" t="s">
        <v>3471</v>
      </c>
    </row>
    <row r="598">
      <c r="A598" s="138" t="s">
        <v>3305</v>
      </c>
      <c r="B598" s="138" t="s">
        <v>3472</v>
      </c>
      <c r="C598" s="138" t="s">
        <v>3473</v>
      </c>
      <c r="D598" s="138" t="s">
        <v>3474</v>
      </c>
      <c r="E598" s="138" t="s">
        <v>3475</v>
      </c>
      <c r="F598" s="138" t="s">
        <v>3476</v>
      </c>
      <c r="G598" s="140" t="s">
        <v>3477</v>
      </c>
    </row>
    <row r="599">
      <c r="A599" s="141" t="s">
        <v>3478</v>
      </c>
      <c r="B599" s="141" t="s">
        <v>105</v>
      </c>
      <c r="C599" s="141" t="s">
        <v>3479</v>
      </c>
      <c r="D599" s="141" t="s">
        <v>3480</v>
      </c>
      <c r="E599" s="141" t="s">
        <v>3481</v>
      </c>
      <c r="F599" s="141" t="s">
        <v>3482</v>
      </c>
      <c r="G599" s="142" t="s">
        <v>3483</v>
      </c>
    </row>
    <row r="600">
      <c r="A600" s="143" t="s">
        <v>3478</v>
      </c>
      <c r="B600" s="143" t="s">
        <v>3484</v>
      </c>
      <c r="C600" s="143" t="s">
        <v>3485</v>
      </c>
      <c r="D600" s="143" t="s">
        <v>3486</v>
      </c>
      <c r="E600" s="143" t="s">
        <v>3487</v>
      </c>
      <c r="F600" s="143" t="s">
        <v>3488</v>
      </c>
      <c r="G600" s="144" t="s">
        <v>3489</v>
      </c>
    </row>
    <row r="601">
      <c r="A601" s="141" t="s">
        <v>3478</v>
      </c>
      <c r="B601" s="141" t="s">
        <v>3490</v>
      </c>
      <c r="C601" s="141" t="s">
        <v>3491</v>
      </c>
      <c r="D601" s="141" t="s">
        <v>3492</v>
      </c>
      <c r="E601" s="141" t="s">
        <v>3493</v>
      </c>
      <c r="F601" s="141" t="s">
        <v>3494</v>
      </c>
      <c r="G601" s="142" t="s">
        <v>3495</v>
      </c>
    </row>
    <row r="602">
      <c r="A602" s="143" t="s">
        <v>3478</v>
      </c>
      <c r="B602" s="143" t="s">
        <v>3496</v>
      </c>
      <c r="C602" s="143" t="s">
        <v>3497</v>
      </c>
      <c r="D602" s="143" t="s">
        <v>3498</v>
      </c>
      <c r="E602" s="143" t="s">
        <v>3499</v>
      </c>
      <c r="F602" s="143" t="s">
        <v>3500</v>
      </c>
      <c r="G602" s="144" t="s">
        <v>3501</v>
      </c>
    </row>
    <row r="603">
      <c r="A603" s="141" t="s">
        <v>3478</v>
      </c>
      <c r="B603" s="141" t="s">
        <v>3502</v>
      </c>
      <c r="C603" s="141" t="s">
        <v>3503</v>
      </c>
      <c r="D603" s="141" t="s">
        <v>3504</v>
      </c>
      <c r="E603" s="141" t="s">
        <v>3505</v>
      </c>
      <c r="F603" s="141" t="s">
        <v>3506</v>
      </c>
      <c r="G603" s="142" t="s">
        <v>3507</v>
      </c>
    </row>
    <row r="604">
      <c r="A604" s="143" t="s">
        <v>3478</v>
      </c>
      <c r="B604" s="143" t="s">
        <v>3508</v>
      </c>
      <c r="C604" s="143" t="s">
        <v>3509</v>
      </c>
      <c r="D604" s="145"/>
      <c r="E604" s="145"/>
      <c r="F604" s="145"/>
      <c r="G604" s="144" t="s">
        <v>3510</v>
      </c>
    </row>
    <row r="605">
      <c r="A605" s="141" t="s">
        <v>3478</v>
      </c>
      <c r="B605" s="141" t="s">
        <v>3511</v>
      </c>
      <c r="C605" s="141" t="s">
        <v>3512</v>
      </c>
      <c r="D605" s="141" t="s">
        <v>3513</v>
      </c>
      <c r="E605" s="141" t="s">
        <v>3514</v>
      </c>
      <c r="F605" s="141" t="s">
        <v>3515</v>
      </c>
      <c r="G605" s="142" t="s">
        <v>3516</v>
      </c>
    </row>
    <row r="606">
      <c r="A606" s="143" t="s">
        <v>3478</v>
      </c>
      <c r="B606" s="143" t="s">
        <v>3517</v>
      </c>
      <c r="C606" s="143" t="s">
        <v>3518</v>
      </c>
      <c r="D606" s="143" t="s">
        <v>3519</v>
      </c>
      <c r="E606" s="143" t="s">
        <v>3520</v>
      </c>
      <c r="F606" s="143" t="s">
        <v>3521</v>
      </c>
      <c r="G606" s="144" t="s">
        <v>3522</v>
      </c>
    </row>
    <row r="607">
      <c r="A607" s="141" t="s">
        <v>3478</v>
      </c>
      <c r="B607" s="141" t="s">
        <v>3523</v>
      </c>
      <c r="C607" s="141" t="s">
        <v>3524</v>
      </c>
      <c r="D607" s="145"/>
      <c r="E607" s="141" t="s">
        <v>3525</v>
      </c>
      <c r="F607" s="141" t="s">
        <v>3526</v>
      </c>
      <c r="G607" s="142" t="s">
        <v>3527</v>
      </c>
    </row>
    <row r="608">
      <c r="A608" s="143" t="s">
        <v>3478</v>
      </c>
      <c r="B608" s="143" t="s">
        <v>3528</v>
      </c>
      <c r="C608" s="143" t="s">
        <v>3529</v>
      </c>
      <c r="D608" s="143" t="s">
        <v>3530</v>
      </c>
      <c r="E608" s="143" t="s">
        <v>3531</v>
      </c>
      <c r="F608" s="143" t="s">
        <v>3532</v>
      </c>
      <c r="G608" s="144" t="s">
        <v>3533</v>
      </c>
    </row>
    <row r="609">
      <c r="A609" s="141" t="s">
        <v>3478</v>
      </c>
      <c r="B609" s="141" t="s">
        <v>3534</v>
      </c>
      <c r="C609" s="141" t="s">
        <v>3535</v>
      </c>
      <c r="D609" s="141" t="s">
        <v>3536</v>
      </c>
      <c r="E609" s="141" t="s">
        <v>3537</v>
      </c>
      <c r="F609" s="141" t="s">
        <v>3538</v>
      </c>
      <c r="G609" s="142" t="s">
        <v>3539</v>
      </c>
    </row>
    <row r="610">
      <c r="A610" s="143" t="s">
        <v>3478</v>
      </c>
      <c r="B610" s="143" t="s">
        <v>3540</v>
      </c>
      <c r="C610" s="143" t="s">
        <v>3541</v>
      </c>
      <c r="D610" s="143" t="s">
        <v>3542</v>
      </c>
      <c r="E610" s="143" t="s">
        <v>3543</v>
      </c>
      <c r="F610" s="143" t="s">
        <v>3544</v>
      </c>
      <c r="G610" s="144" t="s">
        <v>3545</v>
      </c>
    </row>
    <row r="611">
      <c r="A611" s="141" t="s">
        <v>3478</v>
      </c>
      <c r="B611" s="141" t="s">
        <v>3546</v>
      </c>
      <c r="C611" s="141" t="s">
        <v>3547</v>
      </c>
      <c r="D611" s="141" t="s">
        <v>3548</v>
      </c>
      <c r="E611" s="141" t="s">
        <v>3549</v>
      </c>
      <c r="F611" s="141" t="s">
        <v>3550</v>
      </c>
      <c r="G611" s="142" t="s">
        <v>3551</v>
      </c>
    </row>
    <row r="612">
      <c r="A612" s="146" t="s">
        <v>3552</v>
      </c>
      <c r="B612" s="146" t="s">
        <v>3553</v>
      </c>
      <c r="C612" s="146" t="s">
        <v>3554</v>
      </c>
      <c r="D612" s="146" t="s">
        <v>3555</v>
      </c>
      <c r="E612" s="146" t="s">
        <v>3556</v>
      </c>
      <c r="F612" s="146" t="s">
        <v>3557</v>
      </c>
      <c r="G612" s="147" t="s">
        <v>3558</v>
      </c>
    </row>
    <row r="613">
      <c r="A613" s="65" t="s">
        <v>3552</v>
      </c>
      <c r="B613" s="65" t="s">
        <v>3559</v>
      </c>
      <c r="C613" s="65" t="s">
        <v>3560</v>
      </c>
      <c r="D613" s="65" t="s">
        <v>3561</v>
      </c>
      <c r="E613" s="65" t="s">
        <v>3562</v>
      </c>
      <c r="F613" s="65" t="s">
        <v>3563</v>
      </c>
      <c r="G613" s="66" t="s">
        <v>3564</v>
      </c>
    </row>
    <row r="614">
      <c r="A614" s="146" t="s">
        <v>3552</v>
      </c>
      <c r="B614" s="146" t="s">
        <v>3565</v>
      </c>
      <c r="C614" s="146" t="s">
        <v>3566</v>
      </c>
      <c r="D614" s="146" t="s">
        <v>3567</v>
      </c>
      <c r="E614" s="146" t="s">
        <v>3568</v>
      </c>
      <c r="F614" s="146" t="s">
        <v>3569</v>
      </c>
      <c r="G614" s="147" t="s">
        <v>3570</v>
      </c>
    </row>
    <row r="615">
      <c r="A615" s="65" t="s">
        <v>3552</v>
      </c>
      <c r="B615" s="65" t="s">
        <v>3571</v>
      </c>
      <c r="C615" s="65" t="s">
        <v>3572</v>
      </c>
      <c r="D615" s="65" t="s">
        <v>3573</v>
      </c>
      <c r="E615" s="65" t="s">
        <v>3574</v>
      </c>
      <c r="F615" s="65" t="s">
        <v>3575</v>
      </c>
      <c r="G615" s="66" t="s">
        <v>3576</v>
      </c>
    </row>
    <row r="616">
      <c r="A616" s="146" t="s">
        <v>3552</v>
      </c>
      <c r="B616" s="146" t="s">
        <v>3577</v>
      </c>
      <c r="C616" s="146" t="s">
        <v>3578</v>
      </c>
      <c r="D616" s="146" t="s">
        <v>3579</v>
      </c>
      <c r="E616" s="146" t="s">
        <v>3580</v>
      </c>
      <c r="F616" s="146" t="s">
        <v>3581</v>
      </c>
      <c r="G616" s="147" t="s">
        <v>3582</v>
      </c>
    </row>
    <row r="617">
      <c r="A617" s="65" t="s">
        <v>3552</v>
      </c>
      <c r="B617" s="65" t="s">
        <v>3583</v>
      </c>
      <c r="C617" s="65" t="s">
        <v>3584</v>
      </c>
      <c r="D617" s="65" t="s">
        <v>3585</v>
      </c>
      <c r="E617" s="65" t="s">
        <v>3586</v>
      </c>
      <c r="F617" s="65" t="s">
        <v>3587</v>
      </c>
      <c r="G617" s="66" t="s">
        <v>3588</v>
      </c>
    </row>
    <row r="618">
      <c r="A618" s="146" t="s">
        <v>3552</v>
      </c>
      <c r="B618" s="146" t="s">
        <v>3589</v>
      </c>
      <c r="C618" s="146" t="s">
        <v>3590</v>
      </c>
      <c r="D618" s="146" t="s">
        <v>3591</v>
      </c>
      <c r="E618" s="146" t="s">
        <v>3592</v>
      </c>
      <c r="F618" s="148"/>
      <c r="G618" s="147" t="s">
        <v>3593</v>
      </c>
    </row>
    <row r="619">
      <c r="A619" s="65" t="s">
        <v>3552</v>
      </c>
      <c r="B619" s="65" t="s">
        <v>3594</v>
      </c>
      <c r="C619" s="65" t="s">
        <v>3595</v>
      </c>
      <c r="D619" s="65" t="s">
        <v>3596</v>
      </c>
      <c r="E619" s="65" t="s">
        <v>3597</v>
      </c>
      <c r="F619" s="68"/>
      <c r="G619" s="66" t="s">
        <v>3598</v>
      </c>
    </row>
    <row r="620">
      <c r="A620" s="146" t="s">
        <v>3552</v>
      </c>
      <c r="B620" s="146" t="s">
        <v>3599</v>
      </c>
      <c r="C620" s="146" t="s">
        <v>3600</v>
      </c>
      <c r="D620" s="146" t="s">
        <v>3601</v>
      </c>
      <c r="E620" s="146" t="s">
        <v>3602</v>
      </c>
      <c r="F620" s="146" t="s">
        <v>3603</v>
      </c>
      <c r="G620" s="147" t="s">
        <v>3604</v>
      </c>
    </row>
    <row r="621">
      <c r="A621" s="65" t="s">
        <v>3552</v>
      </c>
      <c r="B621" s="65" t="s">
        <v>1564</v>
      </c>
      <c r="C621" s="65" t="s">
        <v>3605</v>
      </c>
      <c r="D621" s="65" t="s">
        <v>3606</v>
      </c>
      <c r="E621" s="65" t="s">
        <v>3607</v>
      </c>
      <c r="F621" s="65" t="s">
        <v>3608</v>
      </c>
      <c r="G621" s="66" t="s">
        <v>3609</v>
      </c>
    </row>
    <row r="622">
      <c r="A622" s="146" t="s">
        <v>3552</v>
      </c>
      <c r="B622" s="146" t="s">
        <v>3610</v>
      </c>
      <c r="C622" s="146" t="s">
        <v>3611</v>
      </c>
      <c r="D622" s="146" t="s">
        <v>3612</v>
      </c>
      <c r="E622" s="146" t="s">
        <v>3613</v>
      </c>
      <c r="F622" s="146" t="s">
        <v>3614</v>
      </c>
      <c r="G622" s="147" t="s">
        <v>3615</v>
      </c>
    </row>
    <row r="623">
      <c r="A623" s="65" t="s">
        <v>3552</v>
      </c>
      <c r="B623" s="65" t="s">
        <v>3616</v>
      </c>
      <c r="C623" s="65" t="s">
        <v>3617</v>
      </c>
      <c r="D623" s="65" t="s">
        <v>3618</v>
      </c>
      <c r="E623" s="65" t="s">
        <v>3619</v>
      </c>
      <c r="F623" s="68"/>
      <c r="G623" s="66" t="s">
        <v>3620</v>
      </c>
    </row>
    <row r="624">
      <c r="A624" s="146" t="s">
        <v>3552</v>
      </c>
      <c r="B624" s="146" t="s">
        <v>3621</v>
      </c>
      <c r="C624" s="146" t="s">
        <v>3622</v>
      </c>
      <c r="D624" s="146" t="s">
        <v>3623</v>
      </c>
      <c r="E624" s="146" t="s">
        <v>3624</v>
      </c>
      <c r="F624" s="146" t="s">
        <v>3625</v>
      </c>
      <c r="G624" s="147" t="s">
        <v>3626</v>
      </c>
    </row>
    <row r="625">
      <c r="A625" s="149" t="s">
        <v>3627</v>
      </c>
      <c r="B625" s="149" t="s">
        <v>3628</v>
      </c>
      <c r="C625" s="149" t="s">
        <v>3629</v>
      </c>
      <c r="D625" s="149" t="s">
        <v>3630</v>
      </c>
      <c r="E625" s="149" t="s">
        <v>3631</v>
      </c>
      <c r="F625" s="149" t="s">
        <v>3632</v>
      </c>
      <c r="G625" s="150" t="s">
        <v>3633</v>
      </c>
    </row>
    <row r="626">
      <c r="A626" s="151" t="s">
        <v>3627</v>
      </c>
      <c r="B626" s="151" t="s">
        <v>3634</v>
      </c>
      <c r="C626" s="151" t="s">
        <v>3635</v>
      </c>
      <c r="D626" s="151" t="s">
        <v>3636</v>
      </c>
      <c r="E626" s="151" t="s">
        <v>3637</v>
      </c>
      <c r="F626" s="151" t="s">
        <v>3638</v>
      </c>
      <c r="G626" s="152" t="s">
        <v>3639</v>
      </c>
    </row>
    <row r="627">
      <c r="A627" s="149" t="s">
        <v>3627</v>
      </c>
      <c r="B627" s="149" t="s">
        <v>3640</v>
      </c>
      <c r="C627" s="149" t="s">
        <v>3641</v>
      </c>
      <c r="D627" s="149" t="s">
        <v>3642</v>
      </c>
      <c r="E627" s="149" t="s">
        <v>3643</v>
      </c>
      <c r="F627" s="149" t="s">
        <v>3644</v>
      </c>
      <c r="G627" s="150" t="s">
        <v>3645</v>
      </c>
    </row>
    <row r="628">
      <c r="A628" s="151" t="s">
        <v>3627</v>
      </c>
      <c r="B628" s="151" t="s">
        <v>3646</v>
      </c>
      <c r="C628" s="151" t="s">
        <v>3647</v>
      </c>
      <c r="D628" s="151" t="s">
        <v>3648</v>
      </c>
      <c r="E628" s="151" t="s">
        <v>3649</v>
      </c>
      <c r="F628" s="151" t="s">
        <v>3650</v>
      </c>
      <c r="G628" s="152" t="s">
        <v>3651</v>
      </c>
    </row>
    <row r="629">
      <c r="A629" s="149" t="s">
        <v>3627</v>
      </c>
      <c r="B629" s="149" t="s">
        <v>3652</v>
      </c>
      <c r="C629" s="149" t="s">
        <v>3653</v>
      </c>
      <c r="D629" s="149" t="s">
        <v>3654</v>
      </c>
      <c r="E629" s="149" t="s">
        <v>3655</v>
      </c>
      <c r="F629" s="149" t="s">
        <v>3656</v>
      </c>
      <c r="G629" s="150" t="s">
        <v>3657</v>
      </c>
    </row>
    <row r="630">
      <c r="A630" s="151" t="s">
        <v>3627</v>
      </c>
      <c r="B630" s="151" t="s">
        <v>3658</v>
      </c>
      <c r="C630" s="151" t="s">
        <v>3659</v>
      </c>
      <c r="D630" s="151" t="s">
        <v>3660</v>
      </c>
      <c r="E630" s="151" t="s">
        <v>3661</v>
      </c>
      <c r="F630" s="151" t="s">
        <v>3662</v>
      </c>
      <c r="G630" s="152" t="s">
        <v>3663</v>
      </c>
    </row>
    <row r="631">
      <c r="A631" s="149" t="s">
        <v>3627</v>
      </c>
      <c r="B631" s="149" t="s">
        <v>3664</v>
      </c>
      <c r="C631" s="149" t="s">
        <v>3665</v>
      </c>
      <c r="D631" s="149" t="s">
        <v>3666</v>
      </c>
      <c r="E631" s="149" t="s">
        <v>3667</v>
      </c>
      <c r="F631" s="149" t="s">
        <v>3668</v>
      </c>
      <c r="G631" s="150" t="s">
        <v>3669</v>
      </c>
    </row>
    <row r="632">
      <c r="A632" s="151" t="s">
        <v>3627</v>
      </c>
      <c r="B632" s="151" t="s">
        <v>3670</v>
      </c>
      <c r="C632" s="151" t="s">
        <v>3671</v>
      </c>
      <c r="D632" s="151" t="s">
        <v>3672</v>
      </c>
      <c r="E632" s="151" t="s">
        <v>3673</v>
      </c>
      <c r="F632" s="153"/>
      <c r="G632" s="152" t="s">
        <v>3674</v>
      </c>
    </row>
    <row r="633">
      <c r="A633" s="149" t="s">
        <v>3627</v>
      </c>
      <c r="B633" s="149" t="s">
        <v>3675</v>
      </c>
      <c r="C633" s="149" t="s">
        <v>3676</v>
      </c>
      <c r="D633" s="149" t="s">
        <v>3677</v>
      </c>
      <c r="E633" s="149" t="s">
        <v>3678</v>
      </c>
      <c r="F633" s="154"/>
      <c r="G633" s="150" t="s">
        <v>3679</v>
      </c>
    </row>
    <row r="634">
      <c r="A634" s="151" t="s">
        <v>3627</v>
      </c>
      <c r="B634" s="151" t="s">
        <v>3680</v>
      </c>
      <c r="C634" s="151" t="s">
        <v>3681</v>
      </c>
      <c r="D634" s="151" t="s">
        <v>3682</v>
      </c>
      <c r="E634" s="151" t="s">
        <v>3683</v>
      </c>
      <c r="F634" s="151" t="s">
        <v>3684</v>
      </c>
      <c r="G634" s="152" t="s">
        <v>3685</v>
      </c>
    </row>
    <row r="635">
      <c r="A635" s="149" t="s">
        <v>3627</v>
      </c>
      <c r="B635" s="149" t="s">
        <v>3686</v>
      </c>
      <c r="C635" s="149" t="s">
        <v>3687</v>
      </c>
      <c r="D635" s="149" t="s">
        <v>3688</v>
      </c>
      <c r="E635" s="149" t="s">
        <v>3689</v>
      </c>
      <c r="F635" s="149" t="s">
        <v>3690</v>
      </c>
      <c r="G635" s="150" t="s">
        <v>3691</v>
      </c>
    </row>
    <row r="636">
      <c r="A636" s="151" t="s">
        <v>3627</v>
      </c>
      <c r="B636" s="151" t="s">
        <v>3692</v>
      </c>
      <c r="C636" s="151" t="s">
        <v>3693</v>
      </c>
      <c r="D636" s="151" t="s">
        <v>3694</v>
      </c>
      <c r="E636" s="151" t="s">
        <v>3695</v>
      </c>
      <c r="F636" s="151" t="s">
        <v>3696</v>
      </c>
      <c r="G636" s="152" t="s">
        <v>3697</v>
      </c>
    </row>
    <row r="637">
      <c r="A637" s="149" t="s">
        <v>3627</v>
      </c>
      <c r="B637" s="149" t="s">
        <v>3698</v>
      </c>
      <c r="C637" s="149" t="s">
        <v>3699</v>
      </c>
      <c r="D637" s="149" t="s">
        <v>3700</v>
      </c>
      <c r="E637" s="149" t="s">
        <v>3701</v>
      </c>
      <c r="F637" s="149" t="s">
        <v>3702</v>
      </c>
      <c r="G637" s="150" t="s">
        <v>3703</v>
      </c>
    </row>
    <row r="638">
      <c r="A638" s="151" t="s">
        <v>3627</v>
      </c>
      <c r="B638" s="151" t="s">
        <v>3704</v>
      </c>
      <c r="C638" s="151" t="s">
        <v>3705</v>
      </c>
      <c r="D638" s="151" t="s">
        <v>3706</v>
      </c>
      <c r="E638" s="151" t="s">
        <v>3707</v>
      </c>
      <c r="F638" s="151" t="s">
        <v>3708</v>
      </c>
      <c r="G638" s="152" t="s">
        <v>3709</v>
      </c>
    </row>
    <row r="639">
      <c r="A639" s="149" t="s">
        <v>3627</v>
      </c>
      <c r="B639" s="149" t="s">
        <v>3710</v>
      </c>
      <c r="C639" s="149" t="s">
        <v>3711</v>
      </c>
      <c r="D639" s="149" t="s">
        <v>3712</v>
      </c>
      <c r="E639" s="149" t="s">
        <v>3713</v>
      </c>
      <c r="F639" s="149" t="s">
        <v>3714</v>
      </c>
      <c r="G639" s="150" t="s">
        <v>3715</v>
      </c>
    </row>
    <row r="640">
      <c r="A640" s="151" t="s">
        <v>3627</v>
      </c>
      <c r="B640" s="151" t="s">
        <v>3716</v>
      </c>
      <c r="C640" s="151" t="s">
        <v>3717</v>
      </c>
      <c r="D640" s="151" t="s">
        <v>3718</v>
      </c>
      <c r="E640" s="151" t="s">
        <v>3719</v>
      </c>
      <c r="F640" s="153"/>
      <c r="G640" s="152" t="s">
        <v>3720</v>
      </c>
    </row>
    <row r="641">
      <c r="A641" s="149" t="s">
        <v>3627</v>
      </c>
      <c r="B641" s="149" t="s">
        <v>3721</v>
      </c>
      <c r="C641" s="149" t="s">
        <v>3722</v>
      </c>
      <c r="D641" s="149" t="s">
        <v>3723</v>
      </c>
      <c r="E641" s="149" t="s">
        <v>3724</v>
      </c>
      <c r="F641" s="149" t="s">
        <v>3725</v>
      </c>
      <c r="G641" s="150" t="s">
        <v>3726</v>
      </c>
    </row>
    <row r="642">
      <c r="A642" s="72" t="s">
        <v>3727</v>
      </c>
      <c r="B642" s="72" t="s">
        <v>3728</v>
      </c>
      <c r="C642" s="72" t="s">
        <v>3729</v>
      </c>
      <c r="D642" s="72" t="s">
        <v>3730</v>
      </c>
      <c r="E642" s="72" t="s">
        <v>3731</v>
      </c>
      <c r="F642" s="76"/>
      <c r="G642" s="73" t="s">
        <v>3732</v>
      </c>
    </row>
    <row r="643">
      <c r="A643" s="74" t="s">
        <v>3727</v>
      </c>
      <c r="B643" s="74" t="s">
        <v>3733</v>
      </c>
      <c r="C643" s="74" t="s">
        <v>3734</v>
      </c>
      <c r="D643" s="74" t="s">
        <v>3735</v>
      </c>
      <c r="E643" s="74" t="s">
        <v>3736</v>
      </c>
      <c r="F643" s="77"/>
      <c r="G643" s="75" t="s">
        <v>3737</v>
      </c>
    </row>
    <row r="644">
      <c r="A644" s="72" t="s">
        <v>3727</v>
      </c>
      <c r="B644" s="72" t="s">
        <v>3738</v>
      </c>
      <c r="C644" s="72" t="s">
        <v>3739</v>
      </c>
      <c r="D644" s="72" t="s">
        <v>3740</v>
      </c>
      <c r="E644" s="72" t="s">
        <v>3741</v>
      </c>
      <c r="F644" s="72" t="s">
        <v>3742</v>
      </c>
      <c r="G644" s="73" t="s">
        <v>3743</v>
      </c>
    </row>
    <row r="645">
      <c r="A645" s="74" t="s">
        <v>3727</v>
      </c>
      <c r="B645" s="74" t="s">
        <v>3744</v>
      </c>
      <c r="C645" s="74" t="s">
        <v>3745</v>
      </c>
      <c r="D645" s="74" t="s">
        <v>3746</v>
      </c>
      <c r="E645" s="74" t="s">
        <v>3747</v>
      </c>
      <c r="F645" s="77"/>
      <c r="G645" s="75" t="s">
        <v>3748</v>
      </c>
    </row>
    <row r="646">
      <c r="A646" s="72" t="s">
        <v>3727</v>
      </c>
      <c r="B646" s="72" t="s">
        <v>3749</v>
      </c>
      <c r="C646" s="72" t="s">
        <v>3750</v>
      </c>
      <c r="D646" s="72" t="s">
        <v>3751</v>
      </c>
      <c r="E646" s="72" t="s">
        <v>3752</v>
      </c>
      <c r="F646" s="76"/>
      <c r="G646" s="73" t="s">
        <v>3753</v>
      </c>
    </row>
    <row r="647">
      <c r="A647" s="74" t="s">
        <v>3727</v>
      </c>
      <c r="B647" s="74" t="s">
        <v>3754</v>
      </c>
      <c r="C647" s="74" t="s">
        <v>3755</v>
      </c>
      <c r="D647" s="74" t="s">
        <v>3756</v>
      </c>
      <c r="E647" s="74" t="s">
        <v>3757</v>
      </c>
      <c r="F647" s="74" t="s">
        <v>3758</v>
      </c>
      <c r="G647" s="75" t="s">
        <v>3759</v>
      </c>
    </row>
    <row r="648">
      <c r="A648" s="72" t="s">
        <v>3727</v>
      </c>
      <c r="B648" s="72" t="s">
        <v>3760</v>
      </c>
      <c r="C648" s="72" t="s">
        <v>3761</v>
      </c>
      <c r="D648" s="72" t="s">
        <v>3762</v>
      </c>
      <c r="E648" s="72" t="s">
        <v>3763</v>
      </c>
      <c r="F648" s="72" t="s">
        <v>3764</v>
      </c>
      <c r="G648" s="73" t="s">
        <v>3765</v>
      </c>
    </row>
    <row r="649">
      <c r="A649" s="74" t="s">
        <v>3727</v>
      </c>
      <c r="B649" s="74" t="s">
        <v>3766</v>
      </c>
      <c r="C649" s="74" t="s">
        <v>3767</v>
      </c>
      <c r="D649" s="74" t="s">
        <v>3768</v>
      </c>
      <c r="E649" s="74" t="s">
        <v>3769</v>
      </c>
      <c r="F649" s="74" t="s">
        <v>3770</v>
      </c>
      <c r="G649" s="75" t="s">
        <v>3771</v>
      </c>
    </row>
    <row r="650">
      <c r="A650" s="72" t="s">
        <v>3727</v>
      </c>
      <c r="B650" s="72" t="s">
        <v>3772</v>
      </c>
      <c r="C650" s="72" t="s">
        <v>3773</v>
      </c>
      <c r="D650" s="72" t="s">
        <v>3774</v>
      </c>
      <c r="E650" s="72" t="s">
        <v>3775</v>
      </c>
      <c r="F650" s="72" t="s">
        <v>3776</v>
      </c>
      <c r="G650" s="73" t="s">
        <v>3777</v>
      </c>
    </row>
    <row r="651">
      <c r="A651" s="74" t="s">
        <v>3727</v>
      </c>
      <c r="B651" s="74" t="s">
        <v>3778</v>
      </c>
      <c r="C651" s="74" t="s">
        <v>3779</v>
      </c>
      <c r="D651" s="74" t="s">
        <v>3780</v>
      </c>
      <c r="E651" s="74" t="s">
        <v>3781</v>
      </c>
      <c r="F651" s="77"/>
      <c r="G651" s="75" t="s">
        <v>3782</v>
      </c>
    </row>
    <row r="652">
      <c r="A652" s="72" t="s">
        <v>3727</v>
      </c>
      <c r="B652" s="72" t="s">
        <v>3783</v>
      </c>
      <c r="C652" s="72" t="s">
        <v>3784</v>
      </c>
      <c r="D652" s="72" t="s">
        <v>3785</v>
      </c>
      <c r="E652" s="72" t="s">
        <v>3786</v>
      </c>
      <c r="F652" s="76"/>
      <c r="G652" s="73" t="s">
        <v>3787</v>
      </c>
    </row>
    <row r="653">
      <c r="A653" s="155" t="s">
        <v>3788</v>
      </c>
      <c r="B653" s="155" t="s">
        <v>3789</v>
      </c>
      <c r="C653" s="155" t="s">
        <v>3790</v>
      </c>
      <c r="D653" s="155" t="s">
        <v>3791</v>
      </c>
      <c r="E653" s="155" t="s">
        <v>3792</v>
      </c>
      <c r="F653" s="155" t="s">
        <v>3793</v>
      </c>
      <c r="G653" s="156" t="s">
        <v>3794</v>
      </c>
    </row>
    <row r="654">
      <c r="A654" s="157" t="s">
        <v>3788</v>
      </c>
      <c r="B654" s="157" t="s">
        <v>3795</v>
      </c>
      <c r="C654" s="157" t="s">
        <v>3796</v>
      </c>
      <c r="D654" s="157" t="s">
        <v>3797</v>
      </c>
      <c r="E654" s="157" t="s">
        <v>3798</v>
      </c>
      <c r="F654" s="158"/>
      <c r="G654" s="159" t="s">
        <v>3799</v>
      </c>
    </row>
    <row r="655">
      <c r="A655" s="155" t="s">
        <v>3788</v>
      </c>
      <c r="B655" s="155" t="s">
        <v>3800</v>
      </c>
      <c r="C655" s="155" t="s">
        <v>3801</v>
      </c>
      <c r="D655" s="155" t="s">
        <v>3802</v>
      </c>
      <c r="E655" s="155" t="s">
        <v>3803</v>
      </c>
      <c r="F655" s="155" t="s">
        <v>3804</v>
      </c>
      <c r="G655" s="156" t="s">
        <v>3805</v>
      </c>
    </row>
    <row r="656">
      <c r="A656" s="157" t="s">
        <v>3788</v>
      </c>
      <c r="B656" s="157" t="s">
        <v>3806</v>
      </c>
      <c r="C656" s="157" t="s">
        <v>3807</v>
      </c>
      <c r="D656" s="157" t="s">
        <v>3808</v>
      </c>
      <c r="E656" s="157" t="s">
        <v>3809</v>
      </c>
      <c r="F656" s="157" t="s">
        <v>3810</v>
      </c>
      <c r="G656" s="159" t="s">
        <v>3811</v>
      </c>
    </row>
    <row r="657">
      <c r="A657" s="155" t="s">
        <v>3788</v>
      </c>
      <c r="B657" s="155" t="s">
        <v>3812</v>
      </c>
      <c r="C657" s="155" t="s">
        <v>3813</v>
      </c>
      <c r="D657" s="155" t="s">
        <v>3814</v>
      </c>
      <c r="E657" s="155" t="s">
        <v>3815</v>
      </c>
      <c r="F657" s="155" t="s">
        <v>3816</v>
      </c>
      <c r="G657" s="156" t="s">
        <v>3817</v>
      </c>
    </row>
    <row r="658">
      <c r="A658" s="157" t="s">
        <v>3788</v>
      </c>
      <c r="B658" s="157" t="s">
        <v>3818</v>
      </c>
      <c r="C658" s="157" t="s">
        <v>3819</v>
      </c>
      <c r="D658" s="157" t="s">
        <v>3820</v>
      </c>
      <c r="E658" s="157" t="s">
        <v>3821</v>
      </c>
      <c r="F658" s="157" t="s">
        <v>3822</v>
      </c>
      <c r="G658" s="159" t="s">
        <v>3823</v>
      </c>
    </row>
    <row r="659">
      <c r="A659" s="155" t="s">
        <v>3788</v>
      </c>
      <c r="B659" s="155" t="s">
        <v>3824</v>
      </c>
      <c r="C659" s="155" t="s">
        <v>3825</v>
      </c>
      <c r="D659" s="155" t="s">
        <v>3826</v>
      </c>
      <c r="E659" s="155" t="s">
        <v>3827</v>
      </c>
      <c r="F659" s="155" t="s">
        <v>3828</v>
      </c>
      <c r="G659" s="156" t="s">
        <v>3829</v>
      </c>
    </row>
    <row r="660">
      <c r="A660" s="157" t="s">
        <v>3788</v>
      </c>
      <c r="B660" s="157" t="s">
        <v>3830</v>
      </c>
      <c r="C660" s="157" t="s">
        <v>3831</v>
      </c>
      <c r="D660" s="157" t="s">
        <v>3832</v>
      </c>
      <c r="E660" s="157" t="s">
        <v>3833</v>
      </c>
      <c r="F660" s="158"/>
      <c r="G660" s="159" t="s">
        <v>3834</v>
      </c>
    </row>
    <row r="661">
      <c r="A661" s="155" t="s">
        <v>3788</v>
      </c>
      <c r="B661" s="155" t="s">
        <v>3835</v>
      </c>
      <c r="C661" s="155" t="s">
        <v>3836</v>
      </c>
      <c r="D661" s="155" t="s">
        <v>3837</v>
      </c>
      <c r="E661" s="155" t="s">
        <v>3838</v>
      </c>
      <c r="F661" s="155" t="s">
        <v>3839</v>
      </c>
      <c r="G661" s="156" t="s">
        <v>3840</v>
      </c>
    </row>
    <row r="662">
      <c r="A662" s="157" t="s">
        <v>3788</v>
      </c>
      <c r="B662" s="157" t="s">
        <v>3841</v>
      </c>
      <c r="C662" s="157" t="s">
        <v>3842</v>
      </c>
      <c r="D662" s="157" t="s">
        <v>3843</v>
      </c>
      <c r="E662" s="157" t="s">
        <v>3844</v>
      </c>
      <c r="F662" s="158"/>
      <c r="G662" s="159" t="s">
        <v>3845</v>
      </c>
    </row>
    <row r="663">
      <c r="A663" s="160" t="s">
        <v>3846</v>
      </c>
      <c r="B663" s="160" t="s">
        <v>3847</v>
      </c>
      <c r="C663" s="160" t="s">
        <v>3848</v>
      </c>
      <c r="D663" s="160" t="s">
        <v>3849</v>
      </c>
      <c r="E663" s="160" t="s">
        <v>3850</v>
      </c>
      <c r="F663" s="160" t="s">
        <v>3851</v>
      </c>
      <c r="G663" s="161" t="s">
        <v>3852</v>
      </c>
    </row>
    <row r="664">
      <c r="A664" s="155" t="s">
        <v>3846</v>
      </c>
      <c r="B664" s="155" t="s">
        <v>3853</v>
      </c>
      <c r="C664" s="155" t="s">
        <v>3854</v>
      </c>
      <c r="D664" s="155" t="s">
        <v>3855</v>
      </c>
      <c r="E664" s="155" t="s">
        <v>3856</v>
      </c>
      <c r="F664" s="162"/>
      <c r="G664" s="156" t="s">
        <v>3857</v>
      </c>
    </row>
    <row r="665">
      <c r="A665" s="160" t="s">
        <v>3846</v>
      </c>
      <c r="B665" s="160" t="s">
        <v>3858</v>
      </c>
      <c r="C665" s="160" t="s">
        <v>3859</v>
      </c>
      <c r="D665" s="160" t="s">
        <v>3860</v>
      </c>
      <c r="E665" s="163" t="str">
        <f>+90 252 712 30 98</f>
        <v>#ERROR!</v>
      </c>
      <c r="F665" s="160" t="s">
        <v>3861</v>
      </c>
      <c r="G665" s="161" t="s">
        <v>3862</v>
      </c>
    </row>
    <row r="666">
      <c r="A666" s="155" t="s">
        <v>3846</v>
      </c>
      <c r="B666" s="155" t="s">
        <v>3863</v>
      </c>
      <c r="C666" s="155" t="s">
        <v>3864</v>
      </c>
      <c r="D666" s="155" t="s">
        <v>3865</v>
      </c>
      <c r="E666" s="155" t="s">
        <v>3866</v>
      </c>
      <c r="F666" s="155" t="s">
        <v>3867</v>
      </c>
      <c r="G666" s="156" t="s">
        <v>3868</v>
      </c>
    </row>
    <row r="667">
      <c r="A667" s="160" t="s">
        <v>3846</v>
      </c>
      <c r="B667" s="160" t="s">
        <v>3869</v>
      </c>
      <c r="C667" s="160" t="s">
        <v>3870</v>
      </c>
      <c r="D667" s="160" t="s">
        <v>3871</v>
      </c>
      <c r="E667" s="163"/>
      <c r="F667" s="163"/>
      <c r="G667" s="161" t="s">
        <v>3872</v>
      </c>
    </row>
    <row r="668">
      <c r="A668" s="155" t="s">
        <v>3846</v>
      </c>
      <c r="B668" s="155" t="s">
        <v>3873</v>
      </c>
      <c r="C668" s="155" t="s">
        <v>3874</v>
      </c>
      <c r="D668" s="155" t="s">
        <v>3875</v>
      </c>
      <c r="E668" s="155" t="s">
        <v>3876</v>
      </c>
      <c r="F668" s="155" t="s">
        <v>3877</v>
      </c>
      <c r="G668" s="156" t="s">
        <v>3878</v>
      </c>
    </row>
    <row r="669">
      <c r="A669" s="160" t="s">
        <v>3846</v>
      </c>
      <c r="B669" s="160" t="s">
        <v>3879</v>
      </c>
      <c r="C669" s="160" t="s">
        <v>3880</v>
      </c>
      <c r="D669" s="160" t="s">
        <v>3881</v>
      </c>
      <c r="E669" s="160" t="s">
        <v>3882</v>
      </c>
      <c r="F669" s="160" t="s">
        <v>3883</v>
      </c>
      <c r="G669" s="161" t="s">
        <v>3884</v>
      </c>
    </row>
    <row r="670">
      <c r="A670" s="155" t="s">
        <v>3846</v>
      </c>
      <c r="B670" s="155" t="s">
        <v>3885</v>
      </c>
      <c r="C670" s="155" t="s">
        <v>3886</v>
      </c>
      <c r="D670" s="155" t="s">
        <v>3887</v>
      </c>
      <c r="E670" s="155" t="s">
        <v>3888</v>
      </c>
      <c r="F670" s="162"/>
      <c r="G670" s="156" t="s">
        <v>3889</v>
      </c>
    </row>
    <row r="671">
      <c r="A671" s="160" t="s">
        <v>3846</v>
      </c>
      <c r="B671" s="160" t="s">
        <v>3890</v>
      </c>
      <c r="C671" s="160" t="s">
        <v>3891</v>
      </c>
      <c r="D671" s="160" t="s">
        <v>3892</v>
      </c>
      <c r="E671" s="160" t="s">
        <v>3893</v>
      </c>
      <c r="F671" s="160" t="s">
        <v>3894</v>
      </c>
      <c r="G671" s="161" t="s">
        <v>3895</v>
      </c>
    </row>
    <row r="672">
      <c r="A672" s="155" t="s">
        <v>3846</v>
      </c>
      <c r="B672" s="155" t="s">
        <v>3896</v>
      </c>
      <c r="C672" s="155" t="s">
        <v>3897</v>
      </c>
      <c r="D672" s="155" t="s">
        <v>3898</v>
      </c>
      <c r="E672" s="162" t="str">
        <f>+90 850 480 4800</f>
        <v>#ERROR!</v>
      </c>
      <c r="F672" s="155" t="s">
        <v>3899</v>
      </c>
      <c r="G672" s="156" t="s">
        <v>3900</v>
      </c>
    </row>
    <row r="673">
      <c r="A673" s="160" t="s">
        <v>3846</v>
      </c>
      <c r="B673" s="160" t="s">
        <v>3901</v>
      </c>
      <c r="C673" s="160" t="s">
        <v>3902</v>
      </c>
      <c r="D673" s="160" t="s">
        <v>3903</v>
      </c>
      <c r="E673" s="160" t="s">
        <v>3904</v>
      </c>
      <c r="F673" s="160" t="s">
        <v>3905</v>
      </c>
      <c r="G673" s="161" t="s">
        <v>3906</v>
      </c>
    </row>
    <row r="674">
      <c r="A674" s="155" t="s">
        <v>3846</v>
      </c>
      <c r="B674" s="155" t="s">
        <v>3907</v>
      </c>
      <c r="C674" s="155" t="s">
        <v>3908</v>
      </c>
      <c r="D674" s="155" t="s">
        <v>3909</v>
      </c>
      <c r="E674" s="155" t="s">
        <v>3910</v>
      </c>
      <c r="F674" s="155" t="s">
        <v>3911</v>
      </c>
      <c r="G674" s="156" t="s">
        <v>3912</v>
      </c>
    </row>
    <row r="675">
      <c r="A675" s="160" t="s">
        <v>3846</v>
      </c>
      <c r="B675" s="160" t="s">
        <v>3913</v>
      </c>
      <c r="C675" s="160" t="s">
        <v>3914</v>
      </c>
      <c r="D675" s="160" t="s">
        <v>3915</v>
      </c>
      <c r="E675" s="160" t="s">
        <v>3916</v>
      </c>
      <c r="F675" s="160" t="s">
        <v>3917</v>
      </c>
      <c r="G675" s="161" t="s">
        <v>3918</v>
      </c>
    </row>
    <row r="676">
      <c r="A676" s="164" t="s">
        <v>3919</v>
      </c>
      <c r="B676" s="164" t="s">
        <v>105</v>
      </c>
      <c r="C676" s="164" t="s">
        <v>3920</v>
      </c>
      <c r="D676" s="164" t="s">
        <v>3921</v>
      </c>
      <c r="E676" s="164" t="s">
        <v>3922</v>
      </c>
      <c r="F676" s="164" t="s">
        <v>3923</v>
      </c>
      <c r="G676" s="165" t="s">
        <v>3924</v>
      </c>
    </row>
    <row r="677">
      <c r="A677" s="166" t="s">
        <v>3919</v>
      </c>
      <c r="B677" s="166" t="s">
        <v>3925</v>
      </c>
      <c r="C677" s="166" t="s">
        <v>3926</v>
      </c>
      <c r="D677" s="166" t="s">
        <v>3927</v>
      </c>
      <c r="E677" s="166" t="s">
        <v>3928</v>
      </c>
      <c r="F677" s="167"/>
      <c r="G677" s="168" t="s">
        <v>3929</v>
      </c>
    </row>
    <row r="678">
      <c r="A678" s="164" t="s">
        <v>3919</v>
      </c>
      <c r="B678" s="164" t="s">
        <v>3930</v>
      </c>
      <c r="C678" s="164" t="s">
        <v>3931</v>
      </c>
      <c r="D678" s="164" t="s">
        <v>3932</v>
      </c>
      <c r="E678" s="164" t="s">
        <v>3933</v>
      </c>
      <c r="F678" s="164" t="s">
        <v>3934</v>
      </c>
      <c r="G678" s="165" t="s">
        <v>3935</v>
      </c>
    </row>
    <row r="679">
      <c r="A679" s="166" t="s">
        <v>3919</v>
      </c>
      <c r="B679" s="166" t="s">
        <v>3936</v>
      </c>
      <c r="C679" s="166" t="s">
        <v>3937</v>
      </c>
      <c r="D679" s="166" t="s">
        <v>3938</v>
      </c>
      <c r="E679" s="166" t="s">
        <v>3939</v>
      </c>
      <c r="F679" s="167"/>
      <c r="G679" s="167"/>
    </row>
    <row r="680">
      <c r="A680" s="164" t="s">
        <v>3919</v>
      </c>
      <c r="B680" s="164" t="s">
        <v>3940</v>
      </c>
      <c r="C680" s="164" t="s">
        <v>3941</v>
      </c>
      <c r="D680" s="164" t="s">
        <v>3942</v>
      </c>
      <c r="E680" s="164" t="s">
        <v>3943</v>
      </c>
      <c r="F680" s="164" t="s">
        <v>3944</v>
      </c>
      <c r="G680" s="165" t="s">
        <v>3945</v>
      </c>
    </row>
    <row r="681">
      <c r="A681" s="166" t="s">
        <v>3919</v>
      </c>
      <c r="B681" s="166" t="s">
        <v>3946</v>
      </c>
      <c r="C681" s="166" t="s">
        <v>3947</v>
      </c>
      <c r="D681" s="166" t="s">
        <v>3948</v>
      </c>
      <c r="E681" s="166" t="s">
        <v>3949</v>
      </c>
      <c r="F681" s="166" t="s">
        <v>3950</v>
      </c>
      <c r="G681" s="168" t="s">
        <v>3951</v>
      </c>
    </row>
    <row r="682">
      <c r="A682" s="169" t="s">
        <v>3952</v>
      </c>
      <c r="B682" s="169" t="s">
        <v>3953</v>
      </c>
      <c r="C682" s="169" t="s">
        <v>3954</v>
      </c>
      <c r="D682" s="169" t="s">
        <v>3955</v>
      </c>
      <c r="E682" s="169" t="s">
        <v>3956</v>
      </c>
      <c r="F682" s="170"/>
      <c r="G682" s="171" t="s">
        <v>3957</v>
      </c>
    </row>
    <row r="683">
      <c r="A683" s="65" t="s">
        <v>3952</v>
      </c>
      <c r="B683" s="65" t="s">
        <v>3958</v>
      </c>
      <c r="C683" s="65" t="s">
        <v>3959</v>
      </c>
      <c r="D683" s="65" t="s">
        <v>3960</v>
      </c>
      <c r="E683" s="65" t="s">
        <v>3961</v>
      </c>
      <c r="F683" s="65" t="s">
        <v>3962</v>
      </c>
      <c r="G683" s="66" t="s">
        <v>3963</v>
      </c>
    </row>
    <row r="684">
      <c r="A684" s="169" t="s">
        <v>3952</v>
      </c>
      <c r="B684" s="169" t="s">
        <v>3964</v>
      </c>
      <c r="C684" s="169" t="s">
        <v>3965</v>
      </c>
      <c r="D684" s="169" t="s">
        <v>3966</v>
      </c>
      <c r="E684" s="169" t="s">
        <v>3967</v>
      </c>
      <c r="F684" s="169" t="s">
        <v>3968</v>
      </c>
      <c r="G684" s="171" t="s">
        <v>3969</v>
      </c>
    </row>
    <row r="685">
      <c r="A685" s="65" t="s">
        <v>3952</v>
      </c>
      <c r="B685" s="65" t="s">
        <v>3970</v>
      </c>
      <c r="C685" s="65" t="s">
        <v>3971</v>
      </c>
      <c r="D685" s="65" t="s">
        <v>3972</v>
      </c>
      <c r="E685" s="65" t="s">
        <v>3973</v>
      </c>
      <c r="F685" s="65" t="s">
        <v>3974</v>
      </c>
      <c r="G685" s="66" t="s">
        <v>3975</v>
      </c>
    </row>
    <row r="686">
      <c r="A686" s="169" t="s">
        <v>3952</v>
      </c>
      <c r="B686" s="169" t="s">
        <v>3976</v>
      </c>
      <c r="C686" s="169" t="s">
        <v>3977</v>
      </c>
      <c r="D686" s="169" t="s">
        <v>3978</v>
      </c>
      <c r="E686" s="169" t="s">
        <v>3979</v>
      </c>
      <c r="F686" s="169" t="s">
        <v>3980</v>
      </c>
      <c r="G686" s="171" t="s">
        <v>3981</v>
      </c>
    </row>
    <row r="687">
      <c r="A687" s="65" t="s">
        <v>3952</v>
      </c>
      <c r="B687" s="65" t="s">
        <v>3982</v>
      </c>
      <c r="C687" s="65" t="s">
        <v>3983</v>
      </c>
      <c r="D687" s="65" t="s">
        <v>3984</v>
      </c>
      <c r="E687" s="65" t="s">
        <v>3985</v>
      </c>
      <c r="F687" s="65" t="s">
        <v>3986</v>
      </c>
      <c r="G687" s="66" t="s">
        <v>3987</v>
      </c>
    </row>
    <row r="688">
      <c r="A688" s="169" t="s">
        <v>3952</v>
      </c>
      <c r="B688" s="169" t="s">
        <v>3988</v>
      </c>
      <c r="C688" s="169" t="s">
        <v>3989</v>
      </c>
      <c r="D688" s="169" t="s">
        <v>3990</v>
      </c>
      <c r="E688" s="169" t="s">
        <v>3991</v>
      </c>
      <c r="F688" s="169" t="s">
        <v>3992</v>
      </c>
      <c r="G688" s="171" t="s">
        <v>3993</v>
      </c>
    </row>
    <row r="689">
      <c r="A689" s="65" t="s">
        <v>3952</v>
      </c>
      <c r="B689" s="65" t="s">
        <v>3994</v>
      </c>
      <c r="C689" s="65" t="s">
        <v>3995</v>
      </c>
      <c r="D689" s="65" t="s">
        <v>3996</v>
      </c>
      <c r="E689" s="65" t="s">
        <v>3997</v>
      </c>
      <c r="F689" s="65" t="s">
        <v>3998</v>
      </c>
      <c r="G689" s="66" t="s">
        <v>3999</v>
      </c>
    </row>
    <row r="690">
      <c r="A690" s="84" t="s">
        <v>4000</v>
      </c>
      <c r="B690" s="84" t="s">
        <v>105</v>
      </c>
      <c r="C690" s="84" t="s">
        <v>4001</v>
      </c>
      <c r="D690" s="84" t="s">
        <v>4002</v>
      </c>
      <c r="E690" s="84" t="s">
        <v>4003</v>
      </c>
      <c r="F690" s="84" t="s">
        <v>4004</v>
      </c>
      <c r="G690" s="85" t="s">
        <v>4005</v>
      </c>
    </row>
    <row r="691">
      <c r="A691" s="74" t="s">
        <v>4000</v>
      </c>
      <c r="B691" s="74" t="s">
        <v>4006</v>
      </c>
      <c r="C691" s="74" t="s">
        <v>4007</v>
      </c>
      <c r="D691" s="74" t="s">
        <v>4008</v>
      </c>
      <c r="E691" s="74" t="s">
        <v>4009</v>
      </c>
      <c r="F691" s="77"/>
      <c r="G691" s="75" t="s">
        <v>4010</v>
      </c>
    </row>
    <row r="692">
      <c r="A692" s="84" t="s">
        <v>4000</v>
      </c>
      <c r="B692" s="84" t="s">
        <v>4011</v>
      </c>
      <c r="C692" s="84" t="s">
        <v>4012</v>
      </c>
      <c r="D692" s="84" t="s">
        <v>4013</v>
      </c>
      <c r="E692" s="84" t="s">
        <v>4014</v>
      </c>
      <c r="F692" s="84" t="s">
        <v>4015</v>
      </c>
      <c r="G692" s="85" t="s">
        <v>4016</v>
      </c>
    </row>
    <row r="693">
      <c r="A693" s="74" t="s">
        <v>4000</v>
      </c>
      <c r="B693" s="74" t="s">
        <v>4017</v>
      </c>
      <c r="C693" s="74" t="s">
        <v>4018</v>
      </c>
      <c r="D693" s="74" t="s">
        <v>4019</v>
      </c>
      <c r="E693" s="74" t="s">
        <v>4020</v>
      </c>
      <c r="F693" s="74" t="s">
        <v>4021</v>
      </c>
      <c r="G693" s="75" t="s">
        <v>4022</v>
      </c>
    </row>
    <row r="694">
      <c r="A694" s="84" t="s">
        <v>4000</v>
      </c>
      <c r="B694" s="84" t="s">
        <v>4023</v>
      </c>
      <c r="C694" s="84" t="s">
        <v>4024</v>
      </c>
      <c r="D694" s="84" t="s">
        <v>4025</v>
      </c>
      <c r="E694" s="84" t="s">
        <v>4026</v>
      </c>
      <c r="F694" s="84" t="s">
        <v>4027</v>
      </c>
      <c r="G694" s="85" t="s">
        <v>4028</v>
      </c>
    </row>
    <row r="695">
      <c r="A695" s="74" t="s">
        <v>4000</v>
      </c>
      <c r="B695" s="74" t="s">
        <v>4029</v>
      </c>
      <c r="C695" s="74" t="s">
        <v>4030</v>
      </c>
      <c r="D695" s="74" t="s">
        <v>4031</v>
      </c>
      <c r="E695" s="74" t="s">
        <v>4032</v>
      </c>
      <c r="F695" s="77"/>
      <c r="G695" s="75" t="s">
        <v>4033</v>
      </c>
    </row>
    <row r="696">
      <c r="A696" s="172" t="s">
        <v>4034</v>
      </c>
      <c r="B696" s="172" t="s">
        <v>4035</v>
      </c>
      <c r="C696" s="173" t="s">
        <v>4036</v>
      </c>
      <c r="D696" s="173" t="s">
        <v>4037</v>
      </c>
      <c r="E696" s="172" t="s">
        <v>4038</v>
      </c>
      <c r="F696" s="173" t="s">
        <v>4039</v>
      </c>
      <c r="G696" s="174" t="s">
        <v>4040</v>
      </c>
    </row>
    <row r="697">
      <c r="A697" s="175" t="s">
        <v>4034</v>
      </c>
      <c r="B697" s="175" t="s">
        <v>4041</v>
      </c>
      <c r="C697" s="176" t="s">
        <v>4042</v>
      </c>
      <c r="D697" s="176" t="s">
        <v>4043</v>
      </c>
      <c r="E697" s="175" t="s">
        <v>4044</v>
      </c>
      <c r="F697" s="176" t="s">
        <v>4045</v>
      </c>
      <c r="G697" s="177" t="s">
        <v>4046</v>
      </c>
    </row>
    <row r="698">
      <c r="A698" s="172" t="s">
        <v>4034</v>
      </c>
      <c r="B698" s="172" t="s">
        <v>4047</v>
      </c>
      <c r="C698" s="173" t="s">
        <v>4048</v>
      </c>
      <c r="D698" s="173" t="s">
        <v>4049</v>
      </c>
      <c r="E698" s="172" t="s">
        <v>4050</v>
      </c>
      <c r="F698" s="173" t="s">
        <v>4051</v>
      </c>
      <c r="G698" s="174" t="s">
        <v>4052</v>
      </c>
    </row>
    <row r="699">
      <c r="A699" s="175" t="s">
        <v>4034</v>
      </c>
      <c r="B699" s="175" t="s">
        <v>4053</v>
      </c>
      <c r="C699" s="176" t="s">
        <v>4054</v>
      </c>
      <c r="D699" s="176" t="s">
        <v>4055</v>
      </c>
      <c r="E699" s="175" t="s">
        <v>4056</v>
      </c>
      <c r="F699" s="178"/>
      <c r="G699" s="177" t="s">
        <v>4057</v>
      </c>
    </row>
    <row r="700">
      <c r="A700" s="172" t="s">
        <v>4034</v>
      </c>
      <c r="B700" s="172" t="s">
        <v>4058</v>
      </c>
      <c r="C700" s="173" t="s">
        <v>4059</v>
      </c>
      <c r="D700" s="173" t="s">
        <v>4060</v>
      </c>
      <c r="E700" s="172" t="s">
        <v>4061</v>
      </c>
      <c r="F700" s="173" t="s">
        <v>4062</v>
      </c>
      <c r="G700" s="174" t="s">
        <v>4063</v>
      </c>
    </row>
    <row r="701">
      <c r="A701" s="175" t="s">
        <v>4034</v>
      </c>
      <c r="B701" s="175" t="s">
        <v>4064</v>
      </c>
      <c r="C701" s="176" t="s">
        <v>4065</v>
      </c>
      <c r="D701" s="176" t="s">
        <v>4066</v>
      </c>
      <c r="E701" s="175" t="s">
        <v>4067</v>
      </c>
      <c r="F701" s="176" t="s">
        <v>4068</v>
      </c>
      <c r="G701" s="177" t="s">
        <v>4069</v>
      </c>
    </row>
    <row r="702">
      <c r="A702" s="172" t="s">
        <v>4034</v>
      </c>
      <c r="B702" s="172" t="s">
        <v>4070</v>
      </c>
      <c r="C702" s="173" t="s">
        <v>4071</v>
      </c>
      <c r="D702" s="173" t="s">
        <v>4072</v>
      </c>
      <c r="E702" s="172" t="s">
        <v>4073</v>
      </c>
      <c r="F702" s="173" t="s">
        <v>4074</v>
      </c>
      <c r="G702" s="174" t="s">
        <v>4075</v>
      </c>
    </row>
    <row r="703">
      <c r="A703" s="175" t="s">
        <v>4034</v>
      </c>
      <c r="B703" s="175" t="s">
        <v>4076</v>
      </c>
      <c r="C703" s="176" t="s">
        <v>4077</v>
      </c>
      <c r="D703" s="176" t="s">
        <v>4078</v>
      </c>
      <c r="E703" s="175" t="s">
        <v>4079</v>
      </c>
      <c r="F703" s="176" t="s">
        <v>4080</v>
      </c>
      <c r="G703" s="177" t="s">
        <v>4081</v>
      </c>
    </row>
    <row r="704">
      <c r="A704" s="172" t="s">
        <v>4034</v>
      </c>
      <c r="B704" s="172" t="s">
        <v>4082</v>
      </c>
      <c r="C704" s="173" t="s">
        <v>4083</v>
      </c>
      <c r="D704" s="179"/>
      <c r="E704" s="172" t="s">
        <v>4084</v>
      </c>
      <c r="F704" s="179"/>
      <c r="G704" s="174" t="s">
        <v>4085</v>
      </c>
    </row>
    <row r="705">
      <c r="A705" s="175" t="s">
        <v>4034</v>
      </c>
      <c r="B705" s="175" t="s">
        <v>4086</v>
      </c>
      <c r="C705" s="176" t="s">
        <v>4087</v>
      </c>
      <c r="D705" s="176" t="s">
        <v>4088</v>
      </c>
      <c r="E705" s="175" t="s">
        <v>4089</v>
      </c>
      <c r="F705" s="176" t="s">
        <v>4090</v>
      </c>
      <c r="G705" s="177" t="s">
        <v>4091</v>
      </c>
    </row>
    <row r="706">
      <c r="A706" s="172" t="s">
        <v>4034</v>
      </c>
      <c r="B706" s="172" t="s">
        <v>4092</v>
      </c>
      <c r="C706" s="173" t="s">
        <v>4093</v>
      </c>
      <c r="D706" s="173" t="s">
        <v>4094</v>
      </c>
      <c r="E706" s="172" t="s">
        <v>4095</v>
      </c>
      <c r="F706" s="179"/>
      <c r="G706" s="174" t="s">
        <v>4096</v>
      </c>
    </row>
    <row r="707">
      <c r="A707" s="175" t="s">
        <v>4034</v>
      </c>
      <c r="B707" s="175" t="s">
        <v>4097</v>
      </c>
      <c r="C707" s="176" t="s">
        <v>4098</v>
      </c>
      <c r="D707" s="176" t="s">
        <v>4099</v>
      </c>
      <c r="E707" s="175" t="s">
        <v>4100</v>
      </c>
      <c r="F707" s="176" t="s">
        <v>4101</v>
      </c>
      <c r="G707" s="177" t="s">
        <v>4102</v>
      </c>
    </row>
    <row r="708">
      <c r="A708" s="172" t="s">
        <v>4034</v>
      </c>
      <c r="B708" s="172" t="s">
        <v>4103</v>
      </c>
      <c r="C708" s="173" t="s">
        <v>4104</v>
      </c>
      <c r="D708" s="173" t="s">
        <v>4105</v>
      </c>
      <c r="E708" s="172" t="s">
        <v>4106</v>
      </c>
      <c r="F708" s="179"/>
      <c r="G708" s="174" t="s">
        <v>4107</v>
      </c>
    </row>
    <row r="709">
      <c r="A709" s="175" t="s">
        <v>4034</v>
      </c>
      <c r="B709" s="175" t="s">
        <v>4108</v>
      </c>
      <c r="C709" s="176" t="s">
        <v>4109</v>
      </c>
      <c r="D709" s="176" t="s">
        <v>4110</v>
      </c>
      <c r="E709" s="175" t="s">
        <v>4111</v>
      </c>
      <c r="F709" s="178"/>
      <c r="G709" s="177" t="s">
        <v>4112</v>
      </c>
    </row>
    <row r="710">
      <c r="A710" s="172" t="s">
        <v>4034</v>
      </c>
      <c r="B710" s="172" t="s">
        <v>4113</v>
      </c>
      <c r="C710" s="173" t="s">
        <v>4114</v>
      </c>
      <c r="D710" s="173" t="s">
        <v>4115</v>
      </c>
      <c r="E710" s="180"/>
      <c r="F710" s="173" t="s">
        <v>4116</v>
      </c>
      <c r="G710" s="174" t="s">
        <v>4117</v>
      </c>
    </row>
    <row r="711">
      <c r="A711" s="175" t="s">
        <v>4034</v>
      </c>
      <c r="B711" s="175" t="s">
        <v>4118</v>
      </c>
      <c r="C711" s="176" t="s">
        <v>4119</v>
      </c>
      <c r="D711" s="176" t="s">
        <v>4120</v>
      </c>
      <c r="E711" s="175" t="s">
        <v>4121</v>
      </c>
      <c r="F711" s="176" t="s">
        <v>4122</v>
      </c>
      <c r="G711" s="177" t="s">
        <v>4123</v>
      </c>
    </row>
    <row r="712">
      <c r="A712" s="172" t="s">
        <v>4034</v>
      </c>
      <c r="B712" s="172" t="s">
        <v>4124</v>
      </c>
      <c r="C712" s="173" t="s">
        <v>4125</v>
      </c>
      <c r="D712" s="173" t="s">
        <v>4126</v>
      </c>
      <c r="E712" s="172" t="s">
        <v>4127</v>
      </c>
      <c r="F712" s="173" t="s">
        <v>4128</v>
      </c>
      <c r="G712" s="174" t="s">
        <v>4129</v>
      </c>
    </row>
    <row r="713">
      <c r="A713" s="175" t="s">
        <v>4034</v>
      </c>
      <c r="B713" s="175" t="s">
        <v>4130</v>
      </c>
      <c r="C713" s="176" t="s">
        <v>4131</v>
      </c>
      <c r="D713" s="178"/>
      <c r="E713" s="175" t="s">
        <v>4132</v>
      </c>
      <c r="F713" s="176" t="s">
        <v>4133</v>
      </c>
      <c r="G713" s="177" t="s">
        <v>4134</v>
      </c>
    </row>
    <row r="714">
      <c r="A714" s="172" t="s">
        <v>4034</v>
      </c>
      <c r="B714" s="172" t="s">
        <v>4135</v>
      </c>
      <c r="C714" s="173" t="s">
        <v>4136</v>
      </c>
      <c r="D714" s="173" t="s">
        <v>4137</v>
      </c>
      <c r="E714" s="172" t="s">
        <v>4138</v>
      </c>
      <c r="F714" s="173" t="s">
        <v>4139</v>
      </c>
      <c r="G714" s="174" t="s">
        <v>4140</v>
      </c>
    </row>
    <row r="715">
      <c r="A715" s="72" t="s">
        <v>4141</v>
      </c>
      <c r="B715" s="72" t="s">
        <v>105</v>
      </c>
      <c r="C715" s="72" t="s">
        <v>4142</v>
      </c>
      <c r="D715" s="72" t="s">
        <v>4143</v>
      </c>
      <c r="E715" s="72" t="s">
        <v>4144</v>
      </c>
      <c r="F715" s="72" t="s">
        <v>4145</v>
      </c>
      <c r="G715" s="73" t="s">
        <v>4146</v>
      </c>
    </row>
    <row r="716">
      <c r="A716" s="74" t="s">
        <v>4141</v>
      </c>
      <c r="B716" s="74" t="s">
        <v>4147</v>
      </c>
      <c r="C716" s="74" t="s">
        <v>4148</v>
      </c>
      <c r="D716" s="74" t="s">
        <v>4149</v>
      </c>
      <c r="E716" s="74" t="s">
        <v>4150</v>
      </c>
      <c r="F716" s="74" t="s">
        <v>4151</v>
      </c>
      <c r="G716" s="75" t="s">
        <v>4152</v>
      </c>
    </row>
    <row r="717">
      <c r="A717" s="72" t="s">
        <v>4141</v>
      </c>
      <c r="B717" s="72" t="s">
        <v>4153</v>
      </c>
      <c r="C717" s="72" t="s">
        <v>4154</v>
      </c>
      <c r="D717" s="72" t="s">
        <v>4155</v>
      </c>
      <c r="E717" s="72" t="s">
        <v>4156</v>
      </c>
      <c r="F717" s="72" t="s">
        <v>4157</v>
      </c>
      <c r="G717" s="73" t="s">
        <v>4158</v>
      </c>
    </row>
    <row r="718">
      <c r="A718" s="74" t="s">
        <v>4141</v>
      </c>
      <c r="B718" s="74" t="s">
        <v>4159</v>
      </c>
      <c r="C718" s="74" t="s">
        <v>4160</v>
      </c>
      <c r="D718" s="74" t="s">
        <v>4161</v>
      </c>
      <c r="E718" s="74" t="s">
        <v>4162</v>
      </c>
      <c r="F718" s="74" t="s">
        <v>4163</v>
      </c>
      <c r="G718" s="75" t="s">
        <v>4164</v>
      </c>
    </row>
    <row r="719">
      <c r="A719" s="72" t="s">
        <v>4141</v>
      </c>
      <c r="B719" s="72" t="s">
        <v>4165</v>
      </c>
      <c r="C719" s="72" t="s">
        <v>4166</v>
      </c>
      <c r="D719" s="72" t="s">
        <v>4167</v>
      </c>
      <c r="E719" s="72" t="s">
        <v>4168</v>
      </c>
      <c r="F719" s="72" t="s">
        <v>4169</v>
      </c>
      <c r="G719" s="73" t="s">
        <v>4170</v>
      </c>
    </row>
    <row r="720">
      <c r="A720" s="74" t="s">
        <v>4141</v>
      </c>
      <c r="B720" s="74" t="s">
        <v>4171</v>
      </c>
      <c r="C720" s="74" t="s">
        <v>4172</v>
      </c>
      <c r="D720" s="74" t="s">
        <v>4173</v>
      </c>
      <c r="E720" s="74" t="s">
        <v>4174</v>
      </c>
      <c r="F720" s="74" t="s">
        <v>4175</v>
      </c>
      <c r="G720" s="75" t="s">
        <v>4176</v>
      </c>
    </row>
    <row r="721">
      <c r="A721" s="72" t="s">
        <v>4141</v>
      </c>
      <c r="B721" s="72" t="s">
        <v>4177</v>
      </c>
      <c r="C721" s="72" t="s">
        <v>4178</v>
      </c>
      <c r="D721" s="72" t="s">
        <v>4179</v>
      </c>
      <c r="E721" s="72" t="s">
        <v>4180</v>
      </c>
      <c r="F721" s="72" t="s">
        <v>4181</v>
      </c>
      <c r="G721" s="73" t="s">
        <v>4182</v>
      </c>
    </row>
    <row r="722">
      <c r="A722" s="74" t="s">
        <v>4141</v>
      </c>
      <c r="B722" s="74" t="s">
        <v>4183</v>
      </c>
      <c r="C722" s="74" t="s">
        <v>4184</v>
      </c>
      <c r="D722" s="74" t="s">
        <v>4185</v>
      </c>
      <c r="E722" s="74" t="s">
        <v>4186</v>
      </c>
      <c r="F722" s="74" t="s">
        <v>4187</v>
      </c>
      <c r="G722" s="75" t="s">
        <v>4188</v>
      </c>
    </row>
    <row r="723">
      <c r="A723" s="72" t="s">
        <v>4141</v>
      </c>
      <c r="B723" s="72" t="s">
        <v>4189</v>
      </c>
      <c r="C723" s="72" t="s">
        <v>4190</v>
      </c>
      <c r="D723" s="72" t="s">
        <v>4191</v>
      </c>
      <c r="E723" s="72" t="s">
        <v>4192</v>
      </c>
      <c r="F723" s="72" t="s">
        <v>4193</v>
      </c>
      <c r="G723" s="73" t="s">
        <v>4194</v>
      </c>
    </row>
    <row r="724">
      <c r="A724" s="74" t="s">
        <v>4141</v>
      </c>
      <c r="B724" s="74" t="s">
        <v>4195</v>
      </c>
      <c r="C724" s="74" t="s">
        <v>4196</v>
      </c>
      <c r="D724" s="74" t="s">
        <v>4197</v>
      </c>
      <c r="E724" s="74" t="s">
        <v>4198</v>
      </c>
      <c r="F724" s="74" t="s">
        <v>4199</v>
      </c>
      <c r="G724" s="75" t="s">
        <v>4200</v>
      </c>
    </row>
    <row r="725">
      <c r="A725" s="72" t="s">
        <v>4141</v>
      </c>
      <c r="B725" s="72" t="s">
        <v>4201</v>
      </c>
      <c r="C725" s="72" t="s">
        <v>4202</v>
      </c>
      <c r="D725" s="72" t="s">
        <v>4203</v>
      </c>
      <c r="E725" s="72" t="s">
        <v>4204</v>
      </c>
      <c r="F725" s="72" t="s">
        <v>4205</v>
      </c>
      <c r="G725" s="73" t="s">
        <v>4206</v>
      </c>
    </row>
    <row r="726">
      <c r="A726" s="74" t="s">
        <v>4141</v>
      </c>
      <c r="B726" s="74" t="s">
        <v>4207</v>
      </c>
      <c r="C726" s="74" t="s">
        <v>4208</v>
      </c>
      <c r="D726" s="74" t="s">
        <v>4209</v>
      </c>
      <c r="E726" s="74" t="s">
        <v>4210</v>
      </c>
      <c r="F726" s="77"/>
      <c r="G726" s="75" t="s">
        <v>4211</v>
      </c>
    </row>
    <row r="727">
      <c r="A727" s="181" t="s">
        <v>4212</v>
      </c>
      <c r="B727" s="181" t="s">
        <v>4213</v>
      </c>
      <c r="C727" s="181" t="s">
        <v>4214</v>
      </c>
      <c r="D727" s="181" t="s">
        <v>4215</v>
      </c>
      <c r="E727" s="181" t="s">
        <v>4216</v>
      </c>
      <c r="F727" s="181" t="s">
        <v>4217</v>
      </c>
      <c r="G727" s="182" t="s">
        <v>4218</v>
      </c>
    </row>
    <row r="728">
      <c r="A728" s="21" t="s">
        <v>4212</v>
      </c>
      <c r="B728" s="21" t="s">
        <v>4219</v>
      </c>
      <c r="C728" s="21" t="s">
        <v>4220</v>
      </c>
      <c r="D728" s="21" t="s">
        <v>4221</v>
      </c>
      <c r="E728" s="21" t="s">
        <v>4222</v>
      </c>
      <c r="F728" s="21" t="s">
        <v>4223</v>
      </c>
      <c r="G728" s="22" t="s">
        <v>4224</v>
      </c>
    </row>
    <row r="729">
      <c r="A729" s="181" t="s">
        <v>4212</v>
      </c>
      <c r="B729" s="181" t="s">
        <v>4225</v>
      </c>
      <c r="C729" s="181" t="s">
        <v>4226</v>
      </c>
      <c r="D729" s="181" t="s">
        <v>4227</v>
      </c>
      <c r="E729" s="181" t="s">
        <v>4228</v>
      </c>
      <c r="F729" s="181" t="s">
        <v>4229</v>
      </c>
      <c r="G729" s="182" t="s">
        <v>4230</v>
      </c>
    </row>
    <row r="730">
      <c r="A730" s="21" t="s">
        <v>4212</v>
      </c>
      <c r="B730" s="21" t="s">
        <v>4231</v>
      </c>
      <c r="C730" s="21" t="s">
        <v>4232</v>
      </c>
      <c r="D730" s="21" t="s">
        <v>4233</v>
      </c>
      <c r="E730" s="21" t="s">
        <v>4234</v>
      </c>
      <c r="F730" s="21" t="s">
        <v>4235</v>
      </c>
      <c r="G730" s="22" t="s">
        <v>4236</v>
      </c>
    </row>
    <row r="731">
      <c r="A731" s="181" t="s">
        <v>4212</v>
      </c>
      <c r="B731" s="181" t="s">
        <v>4237</v>
      </c>
      <c r="C731" s="181" t="s">
        <v>4238</v>
      </c>
      <c r="D731" s="181" t="s">
        <v>4239</v>
      </c>
      <c r="E731" s="181" t="s">
        <v>4240</v>
      </c>
      <c r="F731" s="181" t="s">
        <v>4241</v>
      </c>
      <c r="G731" s="182" t="s">
        <v>4242</v>
      </c>
    </row>
    <row r="732">
      <c r="A732" s="21" t="s">
        <v>4212</v>
      </c>
      <c r="B732" s="21" t="s">
        <v>4243</v>
      </c>
      <c r="C732" s="21" t="s">
        <v>4244</v>
      </c>
      <c r="D732" s="21" t="s">
        <v>4245</v>
      </c>
      <c r="E732" s="21" t="s">
        <v>4246</v>
      </c>
      <c r="F732" s="21" t="s">
        <v>4247</v>
      </c>
      <c r="G732" s="22" t="s">
        <v>4248</v>
      </c>
    </row>
    <row r="733">
      <c r="A733" s="181" t="s">
        <v>4212</v>
      </c>
      <c r="B733" s="181" t="s">
        <v>4249</v>
      </c>
      <c r="C733" s="181" t="s">
        <v>4250</v>
      </c>
      <c r="D733" s="181" t="s">
        <v>4251</v>
      </c>
      <c r="E733" s="181" t="s">
        <v>4252</v>
      </c>
      <c r="F733" s="181" t="s">
        <v>4253</v>
      </c>
      <c r="G733" s="182" t="s">
        <v>4254</v>
      </c>
    </row>
    <row r="734">
      <c r="A734" s="21" t="s">
        <v>4212</v>
      </c>
      <c r="B734" s="21" t="s">
        <v>4255</v>
      </c>
      <c r="C734" s="21" t="s">
        <v>4256</v>
      </c>
      <c r="D734" s="21" t="s">
        <v>4257</v>
      </c>
      <c r="E734" s="21" t="s">
        <v>4258</v>
      </c>
      <c r="F734" s="69"/>
      <c r="G734" s="22" t="s">
        <v>4259</v>
      </c>
    </row>
    <row r="735">
      <c r="A735" s="181" t="s">
        <v>4212</v>
      </c>
      <c r="B735" s="181" t="s">
        <v>4260</v>
      </c>
      <c r="C735" s="181" t="s">
        <v>4261</v>
      </c>
      <c r="D735" s="181" t="s">
        <v>4262</v>
      </c>
      <c r="E735" s="181" t="s">
        <v>4263</v>
      </c>
      <c r="F735" s="183"/>
      <c r="G735" s="182" t="s">
        <v>4264</v>
      </c>
    </row>
    <row r="736">
      <c r="A736" s="21" t="s">
        <v>4212</v>
      </c>
      <c r="B736" s="21" t="s">
        <v>4265</v>
      </c>
      <c r="C736" s="21" t="s">
        <v>4266</v>
      </c>
      <c r="D736" s="21" t="s">
        <v>4267</v>
      </c>
      <c r="E736" s="21" t="s">
        <v>4268</v>
      </c>
      <c r="F736" s="69"/>
      <c r="G736" s="22" t="s">
        <v>4269</v>
      </c>
    </row>
    <row r="737">
      <c r="A737" s="181" t="s">
        <v>4212</v>
      </c>
      <c r="B737" s="181" t="s">
        <v>4270</v>
      </c>
      <c r="C737" s="181" t="s">
        <v>4271</v>
      </c>
      <c r="D737" s="181" t="s">
        <v>4272</v>
      </c>
      <c r="E737" s="181" t="s">
        <v>4273</v>
      </c>
      <c r="F737" s="181" t="s">
        <v>4274</v>
      </c>
      <c r="G737" s="182" t="s">
        <v>4275</v>
      </c>
    </row>
    <row r="738">
      <c r="A738" s="21" t="s">
        <v>4212</v>
      </c>
      <c r="B738" s="21" t="s">
        <v>4276</v>
      </c>
      <c r="C738" s="21" t="s">
        <v>4277</v>
      </c>
      <c r="D738" s="21" t="s">
        <v>4278</v>
      </c>
      <c r="E738" s="21" t="s">
        <v>4279</v>
      </c>
      <c r="F738" s="21" t="s">
        <v>4280</v>
      </c>
      <c r="G738" s="22" t="s">
        <v>4281</v>
      </c>
    </row>
    <row r="739">
      <c r="A739" s="181" t="s">
        <v>4212</v>
      </c>
      <c r="B739" s="181" t="s">
        <v>4282</v>
      </c>
      <c r="C739" s="181" t="s">
        <v>4283</v>
      </c>
      <c r="D739" s="181" t="s">
        <v>4284</v>
      </c>
      <c r="E739" s="181" t="s">
        <v>4285</v>
      </c>
      <c r="F739" s="181" t="s">
        <v>4286</v>
      </c>
      <c r="G739" s="182" t="s">
        <v>4287</v>
      </c>
    </row>
    <row r="740">
      <c r="A740" s="21" t="s">
        <v>4212</v>
      </c>
      <c r="B740" s="21" t="s">
        <v>4288</v>
      </c>
      <c r="C740" s="21" t="s">
        <v>4289</v>
      </c>
      <c r="D740" s="21" t="s">
        <v>4290</v>
      </c>
      <c r="E740" s="21" t="s">
        <v>4291</v>
      </c>
      <c r="F740" s="21" t="s">
        <v>4292</v>
      </c>
      <c r="G740" s="22" t="s">
        <v>4293</v>
      </c>
    </row>
    <row r="741">
      <c r="A741" s="181" t="s">
        <v>4212</v>
      </c>
      <c r="B741" s="181" t="s">
        <v>4294</v>
      </c>
      <c r="C741" s="181" t="s">
        <v>4295</v>
      </c>
      <c r="D741" s="181" t="s">
        <v>4296</v>
      </c>
      <c r="E741" s="181" t="s">
        <v>4297</v>
      </c>
      <c r="F741" s="183"/>
      <c r="G741" s="182" t="s">
        <v>4298</v>
      </c>
    </row>
    <row r="742">
      <c r="A742" s="21" t="s">
        <v>4212</v>
      </c>
      <c r="B742" s="21" t="s">
        <v>4299</v>
      </c>
      <c r="C742" s="21" t="s">
        <v>4300</v>
      </c>
      <c r="D742" s="21" t="s">
        <v>4301</v>
      </c>
      <c r="E742" s="21" t="s">
        <v>4302</v>
      </c>
      <c r="F742" s="21" t="s">
        <v>4303</v>
      </c>
      <c r="G742" s="22" t="s">
        <v>4304</v>
      </c>
    </row>
    <row r="743">
      <c r="A743" s="184" t="s">
        <v>4305</v>
      </c>
      <c r="B743" s="184" t="s">
        <v>4306</v>
      </c>
      <c r="C743" s="184" t="s">
        <v>4307</v>
      </c>
      <c r="D743" s="184" t="s">
        <v>4308</v>
      </c>
      <c r="E743" s="184" t="s">
        <v>4309</v>
      </c>
      <c r="F743" s="184" t="s">
        <v>4310</v>
      </c>
      <c r="G743" s="185" t="s">
        <v>4311</v>
      </c>
    </row>
    <row r="744">
      <c r="A744" s="27" t="s">
        <v>4305</v>
      </c>
      <c r="B744" s="27" t="s">
        <v>4312</v>
      </c>
      <c r="C744" s="27" t="s">
        <v>4313</v>
      </c>
      <c r="D744" s="27" t="s">
        <v>4314</v>
      </c>
      <c r="E744" s="27" t="s">
        <v>4315</v>
      </c>
      <c r="F744" s="27" t="s">
        <v>4316</v>
      </c>
      <c r="G744" s="28" t="s">
        <v>4317</v>
      </c>
    </row>
    <row r="745">
      <c r="A745" s="184" t="s">
        <v>4305</v>
      </c>
      <c r="B745" s="184" t="s">
        <v>4318</v>
      </c>
      <c r="C745" s="184" t="s">
        <v>4319</v>
      </c>
      <c r="D745" s="184" t="s">
        <v>4320</v>
      </c>
      <c r="E745" s="184" t="s">
        <v>4321</v>
      </c>
      <c r="F745" s="184" t="s">
        <v>4322</v>
      </c>
      <c r="G745" s="185" t="s">
        <v>4323</v>
      </c>
    </row>
    <row r="746">
      <c r="A746" s="27" t="s">
        <v>4305</v>
      </c>
      <c r="B746" s="27" t="s">
        <v>1263</v>
      </c>
      <c r="C746" s="27" t="s">
        <v>4324</v>
      </c>
      <c r="D746" s="27" t="s">
        <v>4325</v>
      </c>
      <c r="E746" s="27" t="s">
        <v>4326</v>
      </c>
      <c r="F746" s="27" t="s">
        <v>4327</v>
      </c>
      <c r="G746" s="28" t="s">
        <v>4328</v>
      </c>
    </row>
    <row r="747">
      <c r="A747" s="184" t="s">
        <v>4305</v>
      </c>
      <c r="B747" s="184" t="s">
        <v>4329</v>
      </c>
      <c r="C747" s="184" t="s">
        <v>4330</v>
      </c>
      <c r="D747" s="184" t="s">
        <v>4331</v>
      </c>
      <c r="E747" s="184" t="s">
        <v>4332</v>
      </c>
      <c r="F747" s="184" t="s">
        <v>4333</v>
      </c>
      <c r="G747" s="185" t="s">
        <v>4334</v>
      </c>
    </row>
    <row r="748">
      <c r="A748" s="27" t="s">
        <v>4305</v>
      </c>
      <c r="B748" s="27" t="s">
        <v>4335</v>
      </c>
      <c r="C748" s="27" t="s">
        <v>4336</v>
      </c>
      <c r="D748" s="27" t="s">
        <v>4337</v>
      </c>
      <c r="E748" s="27" t="s">
        <v>4338</v>
      </c>
      <c r="F748" s="27" t="s">
        <v>4339</v>
      </c>
      <c r="G748" s="28" t="s">
        <v>4340</v>
      </c>
    </row>
    <row r="749">
      <c r="A749" s="184" t="s">
        <v>4305</v>
      </c>
      <c r="B749" s="184" t="s">
        <v>4341</v>
      </c>
      <c r="C749" s="184" t="s">
        <v>4342</v>
      </c>
      <c r="D749" s="184" t="s">
        <v>4343</v>
      </c>
      <c r="E749" s="184" t="s">
        <v>4344</v>
      </c>
      <c r="F749" s="184" t="s">
        <v>4345</v>
      </c>
      <c r="G749" s="185" t="s">
        <v>4346</v>
      </c>
    </row>
    <row r="750">
      <c r="A750" s="27" t="s">
        <v>4305</v>
      </c>
      <c r="B750" s="27" t="s">
        <v>4347</v>
      </c>
      <c r="C750" s="27" t="s">
        <v>4348</v>
      </c>
      <c r="D750" s="27" t="s">
        <v>4349</v>
      </c>
      <c r="E750" s="27" t="s">
        <v>4350</v>
      </c>
      <c r="F750" s="27" t="s">
        <v>4351</v>
      </c>
      <c r="G750" s="28" t="s">
        <v>4352</v>
      </c>
    </row>
    <row r="751">
      <c r="A751" s="184" t="s">
        <v>4305</v>
      </c>
      <c r="B751" s="184" t="s">
        <v>4353</v>
      </c>
      <c r="C751" s="184" t="s">
        <v>4354</v>
      </c>
      <c r="D751" s="184" t="s">
        <v>4355</v>
      </c>
      <c r="E751" s="184" t="s">
        <v>4356</v>
      </c>
      <c r="F751" s="184" t="s">
        <v>4357</v>
      </c>
      <c r="G751" s="185" t="s">
        <v>4358</v>
      </c>
    </row>
    <row r="752">
      <c r="A752" s="27" t="s">
        <v>4305</v>
      </c>
      <c r="B752" s="27" t="s">
        <v>4359</v>
      </c>
      <c r="C752" s="27" t="s">
        <v>4360</v>
      </c>
      <c r="D752" s="27" t="s">
        <v>4361</v>
      </c>
      <c r="E752" s="27" t="s">
        <v>4362</v>
      </c>
      <c r="F752" s="27" t="s">
        <v>4363</v>
      </c>
      <c r="G752" s="28" t="s">
        <v>4364</v>
      </c>
    </row>
    <row r="753">
      <c r="A753" s="184" t="s">
        <v>4305</v>
      </c>
      <c r="B753" s="184" t="s">
        <v>4365</v>
      </c>
      <c r="C753" s="184" t="s">
        <v>4366</v>
      </c>
      <c r="D753" s="184" t="s">
        <v>4367</v>
      </c>
      <c r="E753" s="184" t="s">
        <v>4368</v>
      </c>
      <c r="F753" s="184" t="s">
        <v>4369</v>
      </c>
      <c r="G753" s="185" t="s">
        <v>4370</v>
      </c>
    </row>
    <row r="754">
      <c r="A754" s="27" t="s">
        <v>4305</v>
      </c>
      <c r="B754" s="27" t="s">
        <v>4371</v>
      </c>
      <c r="C754" s="27" t="s">
        <v>4372</v>
      </c>
      <c r="D754" s="27" t="s">
        <v>4373</v>
      </c>
      <c r="E754" s="27" t="s">
        <v>4374</v>
      </c>
      <c r="F754" s="27" t="s">
        <v>4375</v>
      </c>
      <c r="G754" s="28" t="s">
        <v>4376</v>
      </c>
    </row>
    <row r="755">
      <c r="A755" s="184" t="s">
        <v>4305</v>
      </c>
      <c r="B755" s="184" t="s">
        <v>4377</v>
      </c>
      <c r="C755" s="184" t="s">
        <v>4378</v>
      </c>
      <c r="D755" s="184" t="s">
        <v>4379</v>
      </c>
      <c r="E755" s="184" t="s">
        <v>4380</v>
      </c>
      <c r="F755" s="184" t="s">
        <v>4381</v>
      </c>
      <c r="G755" s="185" t="s">
        <v>4382</v>
      </c>
    </row>
    <row r="756">
      <c r="A756" s="27" t="s">
        <v>4305</v>
      </c>
      <c r="B756" s="27" t="s">
        <v>4383</v>
      </c>
      <c r="C756" s="27" t="s">
        <v>4384</v>
      </c>
      <c r="D756" s="27" t="s">
        <v>4385</v>
      </c>
      <c r="E756" s="27" t="s">
        <v>4386</v>
      </c>
      <c r="F756" s="27" t="s">
        <v>4387</v>
      </c>
      <c r="G756" s="28" t="s">
        <v>4388</v>
      </c>
    </row>
    <row r="757">
      <c r="A757" s="184" t="s">
        <v>4305</v>
      </c>
      <c r="B757" s="184" t="s">
        <v>4389</v>
      </c>
      <c r="C757" s="184" t="s">
        <v>4390</v>
      </c>
      <c r="D757" s="184" t="s">
        <v>4391</v>
      </c>
      <c r="E757" s="184" t="s">
        <v>4392</v>
      </c>
      <c r="F757" s="184" t="s">
        <v>4393</v>
      </c>
      <c r="G757" s="185" t="s">
        <v>4394</v>
      </c>
    </row>
    <row r="758">
      <c r="A758" s="27" t="s">
        <v>4305</v>
      </c>
      <c r="B758" s="27" t="s">
        <v>4395</v>
      </c>
      <c r="C758" s="27" t="s">
        <v>4396</v>
      </c>
      <c r="D758" s="27" t="s">
        <v>4397</v>
      </c>
      <c r="E758" s="27" t="s">
        <v>4398</v>
      </c>
      <c r="F758" s="27" t="s">
        <v>4399</v>
      </c>
      <c r="G758" s="28" t="s">
        <v>4400</v>
      </c>
    </row>
    <row r="759">
      <c r="A759" s="184" t="s">
        <v>4305</v>
      </c>
      <c r="B759" s="184" t="s">
        <v>4401</v>
      </c>
      <c r="C759" s="184" t="s">
        <v>4402</v>
      </c>
      <c r="D759" s="184" t="s">
        <v>4403</v>
      </c>
      <c r="E759" s="184" t="s">
        <v>4404</v>
      </c>
      <c r="F759" s="184" t="s">
        <v>4405</v>
      </c>
      <c r="G759" s="185" t="s">
        <v>4406</v>
      </c>
    </row>
    <row r="760">
      <c r="A760" s="134" t="s">
        <v>3074</v>
      </c>
      <c r="B760" s="134" t="s">
        <v>105</v>
      </c>
      <c r="C760" s="134" t="s">
        <v>3075</v>
      </c>
      <c r="D760" s="134" t="s">
        <v>3076</v>
      </c>
      <c r="E760" s="134" t="s">
        <v>3077</v>
      </c>
      <c r="F760" s="134" t="s">
        <v>3078</v>
      </c>
      <c r="G760" s="135" t="s">
        <v>3079</v>
      </c>
    </row>
    <row r="761">
      <c r="A761" s="134" t="s">
        <v>3074</v>
      </c>
      <c r="B761" s="134" t="s">
        <v>3080</v>
      </c>
      <c r="C761" s="134" t="s">
        <v>3081</v>
      </c>
      <c r="D761" s="134" t="s">
        <v>3082</v>
      </c>
      <c r="E761" s="134" t="s">
        <v>3083</v>
      </c>
      <c r="F761" s="137"/>
      <c r="G761" s="135" t="s">
        <v>3084</v>
      </c>
    </row>
    <row r="762">
      <c r="A762" s="134" t="s">
        <v>3074</v>
      </c>
      <c r="B762" s="134" t="s">
        <v>3085</v>
      </c>
      <c r="C762" s="134" t="s">
        <v>3086</v>
      </c>
      <c r="D762" s="137"/>
      <c r="E762" s="137"/>
      <c r="F762" s="137"/>
      <c r="G762" s="135" t="s">
        <v>3087</v>
      </c>
    </row>
    <row r="763">
      <c r="A763" s="134" t="s">
        <v>3074</v>
      </c>
      <c r="B763" s="134" t="s">
        <v>3088</v>
      </c>
      <c r="C763" s="134" t="s">
        <v>3089</v>
      </c>
      <c r="D763" s="134" t="s">
        <v>3090</v>
      </c>
      <c r="E763" s="134" t="s">
        <v>3091</v>
      </c>
      <c r="F763" s="137"/>
      <c r="G763" s="135" t="s">
        <v>3092</v>
      </c>
    </row>
    <row r="764">
      <c r="A764" s="134" t="s">
        <v>3074</v>
      </c>
      <c r="B764" s="134" t="s">
        <v>3093</v>
      </c>
      <c r="C764" s="134" t="s">
        <v>3094</v>
      </c>
      <c r="D764" s="134" t="s">
        <v>3095</v>
      </c>
      <c r="E764" s="134" t="s">
        <v>3096</v>
      </c>
      <c r="F764" s="137"/>
      <c r="G764" s="135" t="s">
        <v>3097</v>
      </c>
    </row>
    <row r="765">
      <c r="A765" s="134" t="s">
        <v>3074</v>
      </c>
      <c r="B765" s="134" t="s">
        <v>3098</v>
      </c>
      <c r="C765" s="134" t="s">
        <v>3099</v>
      </c>
      <c r="D765" s="134" t="s">
        <v>3100</v>
      </c>
      <c r="E765" s="134" t="s">
        <v>3101</v>
      </c>
      <c r="F765" s="137"/>
      <c r="G765" s="135" t="s">
        <v>3102</v>
      </c>
    </row>
    <row r="766">
      <c r="A766" s="134" t="s">
        <v>3074</v>
      </c>
      <c r="B766" s="134" t="s">
        <v>3103</v>
      </c>
      <c r="C766" s="134" t="s">
        <v>3104</v>
      </c>
      <c r="D766" s="134" t="s">
        <v>3105</v>
      </c>
      <c r="E766" s="134" t="s">
        <v>3106</v>
      </c>
      <c r="F766" s="137"/>
      <c r="G766" s="135" t="s">
        <v>3107</v>
      </c>
    </row>
    <row r="767">
      <c r="A767" s="134" t="s">
        <v>3074</v>
      </c>
      <c r="B767" s="134" t="s">
        <v>3108</v>
      </c>
      <c r="C767" s="134" t="s">
        <v>3109</v>
      </c>
      <c r="D767" s="134" t="s">
        <v>3110</v>
      </c>
      <c r="E767" s="134" t="s">
        <v>3111</v>
      </c>
      <c r="F767" s="134" t="s">
        <v>3112</v>
      </c>
      <c r="G767" s="135" t="s">
        <v>3113</v>
      </c>
    </row>
    <row r="768">
      <c r="A768" s="134" t="s">
        <v>3074</v>
      </c>
      <c r="B768" s="134" t="s">
        <v>3114</v>
      </c>
      <c r="C768" s="134" t="s">
        <v>3115</v>
      </c>
      <c r="D768" s="134" t="s">
        <v>3116</v>
      </c>
      <c r="E768" s="134" t="s">
        <v>3117</v>
      </c>
      <c r="F768" s="134" t="s">
        <v>3118</v>
      </c>
      <c r="G768" s="135" t="s">
        <v>3119</v>
      </c>
    </row>
    <row r="769">
      <c r="A769" s="186" t="s">
        <v>4407</v>
      </c>
      <c r="B769" s="186" t="s">
        <v>4408</v>
      </c>
      <c r="C769" s="186" t="s">
        <v>4409</v>
      </c>
      <c r="D769" s="186" t="s">
        <v>4410</v>
      </c>
      <c r="E769" s="186" t="s">
        <v>4411</v>
      </c>
      <c r="F769" s="186" t="s">
        <v>4412</v>
      </c>
      <c r="G769" s="187" t="s">
        <v>4413</v>
      </c>
    </row>
    <row r="770">
      <c r="A770" s="186" t="s">
        <v>4407</v>
      </c>
      <c r="B770" s="186" t="s">
        <v>4414</v>
      </c>
      <c r="C770" s="186" t="s">
        <v>4415</v>
      </c>
      <c r="D770" s="186" t="s">
        <v>4416</v>
      </c>
      <c r="E770" s="186" t="s">
        <v>4417</v>
      </c>
      <c r="F770" s="186" t="s">
        <v>4418</v>
      </c>
      <c r="G770" s="187" t="s">
        <v>4419</v>
      </c>
    </row>
    <row r="771">
      <c r="A771" s="186" t="s">
        <v>4407</v>
      </c>
      <c r="B771" s="186" t="s">
        <v>4420</v>
      </c>
      <c r="C771" s="186" t="s">
        <v>4421</v>
      </c>
      <c r="D771" s="186" t="s">
        <v>4422</v>
      </c>
      <c r="E771" s="186" t="s">
        <v>4423</v>
      </c>
      <c r="F771" s="186" t="s">
        <v>4424</v>
      </c>
      <c r="G771" s="187" t="s">
        <v>4425</v>
      </c>
    </row>
    <row r="772">
      <c r="A772" s="186" t="s">
        <v>4407</v>
      </c>
      <c r="B772" s="186" t="s">
        <v>4426</v>
      </c>
      <c r="C772" s="186" t="s">
        <v>4427</v>
      </c>
      <c r="D772" s="186" t="s">
        <v>4428</v>
      </c>
      <c r="E772" s="186" t="s">
        <v>4429</v>
      </c>
      <c r="F772" s="186" t="s">
        <v>4430</v>
      </c>
      <c r="G772" s="187" t="s">
        <v>4431</v>
      </c>
    </row>
    <row r="773">
      <c r="A773" s="186" t="s">
        <v>4407</v>
      </c>
      <c r="B773" s="186" t="s">
        <v>4432</v>
      </c>
      <c r="C773" s="186" t="s">
        <v>4433</v>
      </c>
      <c r="D773" s="186" t="s">
        <v>4434</v>
      </c>
      <c r="E773" s="186" t="s">
        <v>4435</v>
      </c>
      <c r="F773" s="186" t="s">
        <v>4436</v>
      </c>
      <c r="G773" s="187" t="s">
        <v>4437</v>
      </c>
    </row>
    <row r="774">
      <c r="A774" s="186" t="s">
        <v>4407</v>
      </c>
      <c r="B774" s="186" t="s">
        <v>4438</v>
      </c>
      <c r="C774" s="186" t="s">
        <v>4439</v>
      </c>
      <c r="D774" s="186" t="s">
        <v>4440</v>
      </c>
      <c r="E774" s="186" t="s">
        <v>4441</v>
      </c>
      <c r="F774" s="186" t="s">
        <v>4442</v>
      </c>
      <c r="G774" s="187" t="s">
        <v>4443</v>
      </c>
    </row>
    <row r="775">
      <c r="A775" s="186" t="s">
        <v>4407</v>
      </c>
      <c r="B775" s="186" t="s">
        <v>4444</v>
      </c>
      <c r="C775" s="186" t="s">
        <v>4445</v>
      </c>
      <c r="D775" s="186" t="s">
        <v>4446</v>
      </c>
      <c r="E775" s="186" t="s">
        <v>4447</v>
      </c>
      <c r="F775" s="186" t="s">
        <v>4448</v>
      </c>
      <c r="G775" s="187" t="s">
        <v>4449</v>
      </c>
    </row>
    <row r="776">
      <c r="A776" s="186" t="s">
        <v>4407</v>
      </c>
      <c r="B776" s="186" t="s">
        <v>4450</v>
      </c>
      <c r="C776" s="186" t="s">
        <v>4451</v>
      </c>
      <c r="D776" s="186" t="s">
        <v>4452</v>
      </c>
      <c r="E776" s="186" t="s">
        <v>4453</v>
      </c>
      <c r="F776" s="186" t="s">
        <v>4454</v>
      </c>
      <c r="G776" s="187" t="s">
        <v>4455</v>
      </c>
    </row>
    <row r="777">
      <c r="A777" s="186" t="s">
        <v>4407</v>
      </c>
      <c r="B777" s="186" t="s">
        <v>4456</v>
      </c>
      <c r="C777" s="186" t="s">
        <v>4457</v>
      </c>
      <c r="D777" s="186" t="s">
        <v>4458</v>
      </c>
      <c r="E777" s="186" t="s">
        <v>4459</v>
      </c>
      <c r="F777" s="188"/>
      <c r="G777" s="187" t="s">
        <v>4460</v>
      </c>
    </row>
    <row r="778">
      <c r="A778" s="186" t="s">
        <v>4407</v>
      </c>
      <c r="B778" s="186" t="s">
        <v>4461</v>
      </c>
      <c r="C778" s="186" t="s">
        <v>4462</v>
      </c>
      <c r="D778" s="186" t="s">
        <v>4463</v>
      </c>
      <c r="E778" s="186" t="s">
        <v>4464</v>
      </c>
      <c r="F778" s="186" t="s">
        <v>4465</v>
      </c>
      <c r="G778" s="187" t="s">
        <v>4466</v>
      </c>
    </row>
    <row r="779">
      <c r="A779" s="186" t="s">
        <v>4407</v>
      </c>
      <c r="B779" s="186" t="s">
        <v>4467</v>
      </c>
      <c r="C779" s="186" t="s">
        <v>4468</v>
      </c>
      <c r="D779" s="186" t="s">
        <v>4469</v>
      </c>
      <c r="E779" s="186" t="s">
        <v>4470</v>
      </c>
      <c r="F779" s="186" t="s">
        <v>4471</v>
      </c>
      <c r="G779" s="187" t="s">
        <v>4472</v>
      </c>
    </row>
    <row r="780">
      <c r="A780" s="186" t="s">
        <v>4407</v>
      </c>
      <c r="B780" s="186" t="s">
        <v>4473</v>
      </c>
      <c r="C780" s="186" t="s">
        <v>4474</v>
      </c>
      <c r="D780" s="186" t="s">
        <v>4475</v>
      </c>
      <c r="E780" s="186" t="s">
        <v>4476</v>
      </c>
      <c r="F780" s="186" t="s">
        <v>4477</v>
      </c>
      <c r="G780" s="187" t="s">
        <v>4478</v>
      </c>
    </row>
    <row r="781">
      <c r="A781" s="189" t="s">
        <v>4479</v>
      </c>
      <c r="B781" s="189" t="s">
        <v>4480</v>
      </c>
      <c r="C781" s="118" t="s">
        <v>4481</v>
      </c>
      <c r="D781" s="118" t="s">
        <v>4482</v>
      </c>
      <c r="E781" s="118" t="s">
        <v>4483</v>
      </c>
      <c r="F781" s="123"/>
      <c r="G781" s="119" t="s">
        <v>4484</v>
      </c>
    </row>
    <row r="782">
      <c r="A782" s="189" t="s">
        <v>4479</v>
      </c>
      <c r="B782" s="189" t="s">
        <v>4485</v>
      </c>
      <c r="C782" s="118" t="s">
        <v>4486</v>
      </c>
      <c r="D782" s="118" t="s">
        <v>4487</v>
      </c>
      <c r="E782" s="118" t="s">
        <v>4488</v>
      </c>
      <c r="F782" s="118" t="s">
        <v>4489</v>
      </c>
      <c r="G782" s="119" t="s">
        <v>4490</v>
      </c>
    </row>
    <row r="783">
      <c r="A783" s="189" t="s">
        <v>4479</v>
      </c>
      <c r="B783" s="189" t="s">
        <v>4491</v>
      </c>
      <c r="C783" s="118" t="s">
        <v>4492</v>
      </c>
      <c r="D783" s="118" t="s">
        <v>4493</v>
      </c>
      <c r="E783" s="123" t="str">
        <f>+90(346) 781 20 06</f>
        <v>#ERROR!</v>
      </c>
      <c r="F783" s="118" t="s">
        <v>4494</v>
      </c>
      <c r="G783" s="119" t="s">
        <v>4495</v>
      </c>
    </row>
    <row r="784">
      <c r="A784" s="189" t="s">
        <v>4479</v>
      </c>
      <c r="B784" s="189" t="s">
        <v>4496</v>
      </c>
      <c r="C784" s="118" t="s">
        <v>4497</v>
      </c>
      <c r="D784" s="118" t="s">
        <v>4498</v>
      </c>
      <c r="E784" s="118" t="s">
        <v>4499</v>
      </c>
      <c r="F784" s="118" t="s">
        <v>4500</v>
      </c>
      <c r="G784" s="119" t="s">
        <v>4501</v>
      </c>
    </row>
    <row r="785">
      <c r="A785" s="189" t="s">
        <v>4479</v>
      </c>
      <c r="B785" s="189" t="s">
        <v>4502</v>
      </c>
      <c r="C785" s="118" t="s">
        <v>4503</v>
      </c>
      <c r="D785" s="118" t="s">
        <v>4504</v>
      </c>
      <c r="E785" s="123" t="str">
        <f>+90 346 816 10 22</f>
        <v>#ERROR!</v>
      </c>
      <c r="F785" s="118" t="s">
        <v>4505</v>
      </c>
      <c r="G785" s="119" t="s">
        <v>4506</v>
      </c>
    </row>
    <row r="786">
      <c r="A786" s="181" t="s">
        <v>4507</v>
      </c>
      <c r="B786" s="181" t="s">
        <v>4508</v>
      </c>
      <c r="C786" s="181" t="s">
        <v>4509</v>
      </c>
      <c r="D786" s="181" t="s">
        <v>4510</v>
      </c>
      <c r="E786" s="181" t="s">
        <v>4511</v>
      </c>
      <c r="F786" s="181" t="s">
        <v>4512</v>
      </c>
      <c r="G786" s="182" t="s">
        <v>4513</v>
      </c>
    </row>
    <row r="787">
      <c r="A787" s="21" t="s">
        <v>4507</v>
      </c>
      <c r="B787" s="21" t="s">
        <v>4514</v>
      </c>
      <c r="C787" s="21" t="s">
        <v>4515</v>
      </c>
      <c r="D787" s="21" t="s">
        <v>4516</v>
      </c>
      <c r="E787" s="21" t="s">
        <v>4517</v>
      </c>
      <c r="F787" s="21" t="s">
        <v>4518</v>
      </c>
      <c r="G787" s="22" t="s">
        <v>4519</v>
      </c>
    </row>
    <row r="788">
      <c r="A788" s="181" t="s">
        <v>4507</v>
      </c>
      <c r="B788" s="181" t="s">
        <v>4520</v>
      </c>
      <c r="C788" s="181" t="s">
        <v>4521</v>
      </c>
      <c r="D788" s="181" t="s">
        <v>4522</v>
      </c>
      <c r="E788" s="181" t="s">
        <v>4523</v>
      </c>
      <c r="F788" s="181" t="s">
        <v>4524</v>
      </c>
      <c r="G788" s="182" t="s">
        <v>4525</v>
      </c>
    </row>
    <row r="789">
      <c r="A789" s="21" t="s">
        <v>4507</v>
      </c>
      <c r="B789" s="21" t="s">
        <v>4526</v>
      </c>
      <c r="C789" s="21" t="s">
        <v>4527</v>
      </c>
      <c r="D789" s="21" t="s">
        <v>4528</v>
      </c>
      <c r="E789" s="21" t="s">
        <v>4529</v>
      </c>
      <c r="F789" s="21" t="s">
        <v>4530</v>
      </c>
      <c r="G789" s="22" t="s">
        <v>4531</v>
      </c>
    </row>
    <row r="790">
      <c r="A790" s="181" t="s">
        <v>4507</v>
      </c>
      <c r="B790" s="181" t="s">
        <v>4532</v>
      </c>
      <c r="C790" s="181" t="s">
        <v>4533</v>
      </c>
      <c r="D790" s="181" t="s">
        <v>4534</v>
      </c>
      <c r="E790" s="181" t="s">
        <v>4535</v>
      </c>
      <c r="F790" s="181" t="s">
        <v>4536</v>
      </c>
      <c r="G790" s="182" t="s">
        <v>4537</v>
      </c>
    </row>
    <row r="791">
      <c r="A791" s="21" t="s">
        <v>4507</v>
      </c>
      <c r="B791" s="21" t="s">
        <v>4538</v>
      </c>
      <c r="C791" s="21" t="s">
        <v>4539</v>
      </c>
      <c r="D791" s="21" t="s">
        <v>4540</v>
      </c>
      <c r="E791" s="21" t="s">
        <v>4541</v>
      </c>
      <c r="F791" s="69"/>
      <c r="G791" s="22" t="s">
        <v>4542</v>
      </c>
    </row>
    <row r="792">
      <c r="A792" s="181" t="s">
        <v>4507</v>
      </c>
      <c r="B792" s="181" t="s">
        <v>4543</v>
      </c>
      <c r="C792" s="181" t="s">
        <v>4544</v>
      </c>
      <c r="D792" s="181" t="s">
        <v>4545</v>
      </c>
      <c r="E792" s="181" t="s">
        <v>4546</v>
      </c>
      <c r="F792" s="183"/>
      <c r="G792" s="182" t="s">
        <v>4547</v>
      </c>
    </row>
    <row r="793">
      <c r="A793" s="21" t="s">
        <v>4507</v>
      </c>
      <c r="B793" s="21" t="s">
        <v>4548</v>
      </c>
      <c r="C793" s="21" t="s">
        <v>4549</v>
      </c>
      <c r="D793" s="21" t="s">
        <v>4550</v>
      </c>
      <c r="E793" s="21" t="s">
        <v>4551</v>
      </c>
      <c r="F793" s="21" t="s">
        <v>4552</v>
      </c>
      <c r="G793" s="22" t="s">
        <v>4553</v>
      </c>
    </row>
    <row r="794">
      <c r="A794" s="181" t="s">
        <v>4507</v>
      </c>
      <c r="B794" s="181" t="s">
        <v>4554</v>
      </c>
      <c r="C794" s="181" t="s">
        <v>4555</v>
      </c>
      <c r="D794" s="181" t="s">
        <v>4556</v>
      </c>
      <c r="E794" s="181" t="s">
        <v>4557</v>
      </c>
      <c r="F794" s="181" t="s">
        <v>4558</v>
      </c>
      <c r="G794" s="182" t="s">
        <v>4559</v>
      </c>
    </row>
    <row r="795">
      <c r="A795" s="21" t="s">
        <v>4507</v>
      </c>
      <c r="B795" s="21" t="s">
        <v>4560</v>
      </c>
      <c r="C795" s="21" t="s">
        <v>4561</v>
      </c>
      <c r="D795" s="21" t="s">
        <v>4562</v>
      </c>
      <c r="E795" s="21" t="s">
        <v>4563</v>
      </c>
      <c r="F795" s="21" t="s">
        <v>4564</v>
      </c>
      <c r="G795" s="22" t="s">
        <v>4565</v>
      </c>
    </row>
    <row r="796">
      <c r="A796" s="181" t="s">
        <v>4507</v>
      </c>
      <c r="B796" s="181" t="s">
        <v>4566</v>
      </c>
      <c r="C796" s="181" t="s">
        <v>4567</v>
      </c>
      <c r="D796" s="181" t="s">
        <v>4568</v>
      </c>
      <c r="E796" s="181" t="s">
        <v>4569</v>
      </c>
      <c r="F796" s="181" t="s">
        <v>4570</v>
      </c>
      <c r="G796" s="182" t="s">
        <v>4571</v>
      </c>
    </row>
    <row r="797">
      <c r="A797" s="190" t="s">
        <v>4572</v>
      </c>
      <c r="B797" s="190" t="s">
        <v>105</v>
      </c>
      <c r="C797" s="190" t="s">
        <v>4573</v>
      </c>
      <c r="D797" s="190" t="s">
        <v>4574</v>
      </c>
      <c r="E797" s="190" t="s">
        <v>4575</v>
      </c>
      <c r="F797" s="190" t="s">
        <v>4576</v>
      </c>
      <c r="G797" s="191" t="s">
        <v>4577</v>
      </c>
    </row>
    <row r="798">
      <c r="A798" s="74" t="s">
        <v>4572</v>
      </c>
      <c r="B798" s="74" t="s">
        <v>4578</v>
      </c>
      <c r="C798" s="74" t="s">
        <v>4579</v>
      </c>
      <c r="D798" s="74" t="s">
        <v>4580</v>
      </c>
      <c r="E798" s="74" t="s">
        <v>4581</v>
      </c>
      <c r="F798" s="77"/>
      <c r="G798" s="75" t="s">
        <v>4582</v>
      </c>
    </row>
    <row r="799">
      <c r="A799" s="190" t="s">
        <v>4572</v>
      </c>
      <c r="B799" s="190" t="s">
        <v>4583</v>
      </c>
      <c r="C799" s="190" t="s">
        <v>4584</v>
      </c>
      <c r="D799" s="190" t="s">
        <v>4585</v>
      </c>
      <c r="E799" s="190" t="s">
        <v>4586</v>
      </c>
      <c r="F799" s="192"/>
      <c r="G799" s="191" t="s">
        <v>4587</v>
      </c>
    </row>
    <row r="800">
      <c r="A800" s="74" t="s">
        <v>4572</v>
      </c>
      <c r="B800" s="74" t="s">
        <v>4588</v>
      </c>
      <c r="C800" s="74" t="s">
        <v>4589</v>
      </c>
      <c r="D800" s="74" t="s">
        <v>4590</v>
      </c>
      <c r="E800" s="74" t="s">
        <v>4591</v>
      </c>
      <c r="F800" s="77"/>
      <c r="G800" s="75" t="s">
        <v>4592</v>
      </c>
    </row>
    <row r="801">
      <c r="A801" s="190" t="s">
        <v>4572</v>
      </c>
      <c r="B801" s="190" t="s">
        <v>4593</v>
      </c>
      <c r="C801" s="190" t="s">
        <v>4594</v>
      </c>
      <c r="D801" s="190" t="s">
        <v>4595</v>
      </c>
      <c r="E801" s="190" t="s">
        <v>4596</v>
      </c>
      <c r="F801" s="190" t="s">
        <v>4597</v>
      </c>
      <c r="G801" s="191" t="s">
        <v>4598</v>
      </c>
    </row>
    <row r="802">
      <c r="A802" s="74" t="s">
        <v>4572</v>
      </c>
      <c r="B802" s="74" t="s">
        <v>4599</v>
      </c>
      <c r="C802" s="74" t="s">
        <v>4600</v>
      </c>
      <c r="D802" s="74" t="s">
        <v>4601</v>
      </c>
      <c r="E802" s="74" t="s">
        <v>4602</v>
      </c>
      <c r="F802" s="74" t="s">
        <v>4603</v>
      </c>
      <c r="G802" s="75" t="s">
        <v>4604</v>
      </c>
    </row>
    <row r="803">
      <c r="A803" s="190" t="s">
        <v>4572</v>
      </c>
      <c r="B803" s="190" t="s">
        <v>4207</v>
      </c>
      <c r="C803" s="190" t="s">
        <v>4605</v>
      </c>
      <c r="D803" s="190" t="s">
        <v>4606</v>
      </c>
      <c r="E803" s="190" t="s">
        <v>4607</v>
      </c>
      <c r="F803" s="190" t="s">
        <v>4608</v>
      </c>
      <c r="G803" s="191" t="s">
        <v>4609</v>
      </c>
    </row>
    <row r="804">
      <c r="A804" s="74" t="s">
        <v>4572</v>
      </c>
      <c r="B804" s="74" t="s">
        <v>4610</v>
      </c>
      <c r="C804" s="74" t="s">
        <v>4611</v>
      </c>
      <c r="D804" s="74" t="s">
        <v>4612</v>
      </c>
      <c r="E804" s="74" t="s">
        <v>4613</v>
      </c>
      <c r="F804" s="74" t="s">
        <v>4614</v>
      </c>
      <c r="G804" s="75" t="s">
        <v>4615</v>
      </c>
    </row>
    <row r="805">
      <c r="A805" s="190" t="s">
        <v>4572</v>
      </c>
      <c r="B805" s="190" t="s">
        <v>4616</v>
      </c>
      <c r="C805" s="190" t="s">
        <v>4617</v>
      </c>
      <c r="D805" s="190" t="s">
        <v>4618</v>
      </c>
      <c r="E805" s="190" t="s">
        <v>4619</v>
      </c>
      <c r="F805" s="190" t="s">
        <v>4620</v>
      </c>
      <c r="G805" s="191" t="s">
        <v>4621</v>
      </c>
    </row>
    <row r="806">
      <c r="A806" s="74" t="s">
        <v>4572</v>
      </c>
      <c r="B806" s="74" t="s">
        <v>4622</v>
      </c>
      <c r="C806" s="74" t="s">
        <v>4623</v>
      </c>
      <c r="D806" s="74" t="s">
        <v>4624</v>
      </c>
      <c r="E806" s="74" t="s">
        <v>4625</v>
      </c>
      <c r="F806" s="77"/>
      <c r="G806" s="75" t="s">
        <v>4626</v>
      </c>
    </row>
    <row r="807">
      <c r="A807" s="190" t="s">
        <v>4572</v>
      </c>
      <c r="B807" s="190" t="s">
        <v>3559</v>
      </c>
      <c r="C807" s="190" t="s">
        <v>4627</v>
      </c>
      <c r="D807" s="192"/>
      <c r="E807" s="190" t="s">
        <v>4628</v>
      </c>
      <c r="F807" s="192"/>
      <c r="G807" s="191" t="s">
        <v>4629</v>
      </c>
    </row>
    <row r="808">
      <c r="A808" s="74" t="s">
        <v>4572</v>
      </c>
      <c r="B808" s="74" t="s">
        <v>4630</v>
      </c>
      <c r="C808" s="74" t="s">
        <v>4631</v>
      </c>
      <c r="D808" s="74" t="s">
        <v>4632</v>
      </c>
      <c r="E808" s="74" t="s">
        <v>4633</v>
      </c>
      <c r="F808" s="74" t="s">
        <v>4634</v>
      </c>
      <c r="G808" s="75" t="s">
        <v>4635</v>
      </c>
    </row>
    <row r="809">
      <c r="A809" s="149" t="s">
        <v>4636</v>
      </c>
      <c r="B809" s="149" t="s">
        <v>1601</v>
      </c>
      <c r="C809" s="149" t="s">
        <v>4637</v>
      </c>
      <c r="D809" s="149" t="s">
        <v>4638</v>
      </c>
      <c r="E809" s="154" t="str">
        <f>+90 462 224 61 61</f>
        <v>#ERROR!</v>
      </c>
      <c r="F809" s="149" t="s">
        <v>4639</v>
      </c>
      <c r="G809" s="150" t="s">
        <v>4640</v>
      </c>
    </row>
    <row r="810">
      <c r="A810" s="151" t="s">
        <v>4636</v>
      </c>
      <c r="B810" s="151" t="s">
        <v>4641</v>
      </c>
      <c r="C810" s="151" t="s">
        <v>4642</v>
      </c>
      <c r="D810" s="151" t="s">
        <v>4643</v>
      </c>
      <c r="E810" s="151" t="s">
        <v>4644</v>
      </c>
      <c r="F810" s="151" t="s">
        <v>4645</v>
      </c>
      <c r="G810" s="152" t="s">
        <v>4646</v>
      </c>
    </row>
    <row r="811">
      <c r="A811" s="149" t="s">
        <v>4636</v>
      </c>
      <c r="B811" s="149" t="s">
        <v>4647</v>
      </c>
      <c r="C811" s="149" t="s">
        <v>4648</v>
      </c>
      <c r="D811" s="149" t="s">
        <v>4649</v>
      </c>
      <c r="E811" s="154" t="str">
        <f>+90 (462) 721 60 71</f>
        <v>#ERROR!</v>
      </c>
      <c r="F811" s="149" t="s">
        <v>4650</v>
      </c>
      <c r="G811" s="150" t="s">
        <v>4651</v>
      </c>
    </row>
    <row r="812">
      <c r="A812" s="151" t="s">
        <v>4636</v>
      </c>
      <c r="B812" s="151" t="s">
        <v>4652</v>
      </c>
      <c r="C812" s="151" t="s">
        <v>4653</v>
      </c>
      <c r="D812" s="151" t="s">
        <v>4654</v>
      </c>
      <c r="E812" s="151" t="s">
        <v>4655</v>
      </c>
      <c r="F812" s="151" t="s">
        <v>4656</v>
      </c>
      <c r="G812" s="152" t="s">
        <v>4657</v>
      </c>
    </row>
    <row r="813">
      <c r="A813" s="149" t="s">
        <v>4636</v>
      </c>
      <c r="B813" s="149" t="s">
        <v>4658</v>
      </c>
      <c r="C813" s="149" t="s">
        <v>4659</v>
      </c>
      <c r="D813" s="149" t="s">
        <v>4660</v>
      </c>
      <c r="E813" s="154" t="str">
        <f>+90 (462) 871 30 96</f>
        <v>#ERROR!</v>
      </c>
      <c r="F813" s="149" t="s">
        <v>4661</v>
      </c>
      <c r="G813" s="150" t="s">
        <v>4662</v>
      </c>
    </row>
    <row r="814">
      <c r="A814" s="151" t="s">
        <v>4636</v>
      </c>
      <c r="B814" s="151" t="s">
        <v>4663</v>
      </c>
      <c r="C814" s="151" t="s">
        <v>4664</v>
      </c>
      <c r="D814" s="151" t="s">
        <v>4665</v>
      </c>
      <c r="E814" s="151" t="s">
        <v>4666</v>
      </c>
      <c r="F814" s="151" t="s">
        <v>4667</v>
      </c>
      <c r="G814" s="152" t="s">
        <v>4668</v>
      </c>
    </row>
    <row r="815">
      <c r="A815" s="149" t="s">
        <v>4636</v>
      </c>
      <c r="B815" s="149" t="s">
        <v>4669</v>
      </c>
      <c r="C815" s="149" t="s">
        <v>4670</v>
      </c>
      <c r="D815" s="149" t="s">
        <v>4671</v>
      </c>
      <c r="E815" s="149" t="s">
        <v>4672</v>
      </c>
      <c r="F815" s="149" t="s">
        <v>4673</v>
      </c>
      <c r="G815" s="150" t="s">
        <v>4674</v>
      </c>
    </row>
    <row r="816">
      <c r="A816" s="151" t="s">
        <v>4636</v>
      </c>
      <c r="B816" s="151" t="s">
        <v>4675</v>
      </c>
      <c r="C816" s="151" t="s">
        <v>4676</v>
      </c>
      <c r="D816" s="151" t="s">
        <v>4677</v>
      </c>
      <c r="E816" s="151" t="s">
        <v>4678</v>
      </c>
      <c r="F816" s="153"/>
      <c r="G816" s="152" t="s">
        <v>4679</v>
      </c>
    </row>
    <row r="817">
      <c r="A817" s="149" t="s">
        <v>4636</v>
      </c>
      <c r="B817" s="149" t="s">
        <v>4680</v>
      </c>
      <c r="C817" s="149" t="s">
        <v>4681</v>
      </c>
      <c r="D817" s="149" t="s">
        <v>4682</v>
      </c>
      <c r="E817" s="149" t="s">
        <v>4683</v>
      </c>
      <c r="F817" s="149" t="s">
        <v>4684</v>
      </c>
      <c r="G817" s="150" t="s">
        <v>4685</v>
      </c>
    </row>
    <row r="818">
      <c r="A818" s="151" t="s">
        <v>4636</v>
      </c>
      <c r="B818" s="151" t="s">
        <v>4686</v>
      </c>
      <c r="C818" s="151" t="s">
        <v>4687</v>
      </c>
      <c r="D818" s="151" t="s">
        <v>4688</v>
      </c>
      <c r="E818" s="151" t="s">
        <v>4689</v>
      </c>
      <c r="F818" s="151" t="s">
        <v>4690</v>
      </c>
      <c r="G818" s="152" t="s">
        <v>4691</v>
      </c>
    </row>
    <row r="819">
      <c r="A819" s="149" t="s">
        <v>4636</v>
      </c>
      <c r="B819" s="149" t="s">
        <v>3670</v>
      </c>
      <c r="C819" s="149" t="s">
        <v>4692</v>
      </c>
      <c r="D819" s="154"/>
      <c r="E819" s="154"/>
      <c r="F819" s="154"/>
      <c r="G819" s="150" t="s">
        <v>4693</v>
      </c>
    </row>
    <row r="820">
      <c r="A820" s="151" t="s">
        <v>4636</v>
      </c>
      <c r="B820" s="151" t="s">
        <v>4694</v>
      </c>
      <c r="C820" s="151" t="s">
        <v>4695</v>
      </c>
      <c r="D820" s="151" t="s">
        <v>4696</v>
      </c>
      <c r="E820" s="153" t="str">
        <f>+90 462 512 10 06</f>
        <v>#ERROR!</v>
      </c>
      <c r="F820" s="151" t="s">
        <v>4697</v>
      </c>
      <c r="G820" s="152" t="s">
        <v>4698</v>
      </c>
    </row>
    <row r="821">
      <c r="A821" s="149" t="s">
        <v>4636</v>
      </c>
      <c r="B821" s="149" t="s">
        <v>4699</v>
      </c>
      <c r="C821" s="149" t="s">
        <v>4700</v>
      </c>
      <c r="D821" s="149" t="s">
        <v>4701</v>
      </c>
      <c r="E821" s="154" t="str">
        <f>+90 462 771 51 91</f>
        <v>#ERROR!</v>
      </c>
      <c r="F821" s="149" t="s">
        <v>4702</v>
      </c>
      <c r="G821" s="150" t="s">
        <v>4703</v>
      </c>
    </row>
    <row r="822">
      <c r="A822" s="151" t="s">
        <v>4636</v>
      </c>
      <c r="B822" s="151" t="s">
        <v>4704</v>
      </c>
      <c r="C822" s="151" t="s">
        <v>3019</v>
      </c>
      <c r="D822" s="151" t="s">
        <v>4705</v>
      </c>
      <c r="E822" s="153" t="str">
        <f>+90 462 233 61 00</f>
        <v>#ERROR!</v>
      </c>
      <c r="F822" s="151" t="s">
        <v>4706</v>
      </c>
      <c r="G822" s="152" t="s">
        <v>4707</v>
      </c>
    </row>
    <row r="823">
      <c r="A823" s="149" t="s">
        <v>4636</v>
      </c>
      <c r="B823" s="149" t="s">
        <v>4708</v>
      </c>
      <c r="C823" s="149" t="s">
        <v>4709</v>
      </c>
      <c r="D823" s="149" t="s">
        <v>4710</v>
      </c>
      <c r="E823" s="149" t="s">
        <v>4711</v>
      </c>
      <c r="F823" s="149" t="s">
        <v>4712</v>
      </c>
      <c r="G823" s="150" t="s">
        <v>4713</v>
      </c>
    </row>
    <row r="824">
      <c r="A824" s="151" t="s">
        <v>4636</v>
      </c>
      <c r="B824" s="151" t="s">
        <v>4714</v>
      </c>
      <c r="C824" s="151" t="s">
        <v>4715</v>
      </c>
      <c r="D824" s="151" t="s">
        <v>4716</v>
      </c>
      <c r="E824" s="153" t="str">
        <f>+90 462 891 20 18</f>
        <v>#ERROR!</v>
      </c>
      <c r="F824" s="151" t="s">
        <v>4717</v>
      </c>
      <c r="G824" s="152" t="s">
        <v>4718</v>
      </c>
    </row>
    <row r="825">
      <c r="A825" s="149" t="s">
        <v>4636</v>
      </c>
      <c r="B825" s="149" t="s">
        <v>4719</v>
      </c>
      <c r="C825" s="149" t="s">
        <v>4720</v>
      </c>
      <c r="D825" s="149" t="s">
        <v>4721</v>
      </c>
      <c r="E825" s="149" t="s">
        <v>4722</v>
      </c>
      <c r="F825" s="149" t="s">
        <v>4723</v>
      </c>
      <c r="G825" s="150" t="s">
        <v>4724</v>
      </c>
    </row>
    <row r="826">
      <c r="A826" s="151" t="s">
        <v>4636</v>
      </c>
      <c r="B826" s="151" t="s">
        <v>4725</v>
      </c>
      <c r="C826" s="151" t="s">
        <v>4726</v>
      </c>
      <c r="D826" s="151" t="s">
        <v>4727</v>
      </c>
      <c r="E826" s="151" t="s">
        <v>4728</v>
      </c>
      <c r="F826" s="151" t="s">
        <v>4729</v>
      </c>
      <c r="G826" s="152" t="s">
        <v>4730</v>
      </c>
    </row>
    <row r="827">
      <c r="A827" s="149" t="s">
        <v>4636</v>
      </c>
      <c r="B827" s="149" t="s">
        <v>4731</v>
      </c>
      <c r="C827" s="149" t="s">
        <v>4732</v>
      </c>
      <c r="D827" s="149" t="s">
        <v>4733</v>
      </c>
      <c r="E827" s="149" t="s">
        <v>4734</v>
      </c>
      <c r="F827" s="149" t="s">
        <v>4735</v>
      </c>
      <c r="G827" s="150" t="s">
        <v>4736</v>
      </c>
    </row>
    <row r="828">
      <c r="A828" s="193" t="s">
        <v>4737</v>
      </c>
      <c r="B828" s="193" t="s">
        <v>105</v>
      </c>
      <c r="C828" s="193" t="s">
        <v>4738</v>
      </c>
      <c r="D828" s="193" t="s">
        <v>4739</v>
      </c>
      <c r="E828" s="193" t="s">
        <v>4740</v>
      </c>
      <c r="F828" s="193" t="s">
        <v>4741</v>
      </c>
      <c r="G828" s="194" t="s">
        <v>4742</v>
      </c>
    </row>
    <row r="829">
      <c r="A829" s="195" t="s">
        <v>4737</v>
      </c>
      <c r="B829" s="195" t="s">
        <v>4743</v>
      </c>
      <c r="C829" s="195" t="s">
        <v>4744</v>
      </c>
      <c r="D829" s="195" t="s">
        <v>4745</v>
      </c>
      <c r="E829" s="195" t="s">
        <v>4746</v>
      </c>
      <c r="F829" s="196"/>
      <c r="G829" s="197" t="s">
        <v>4747</v>
      </c>
    </row>
    <row r="830">
      <c r="A830" s="193" t="s">
        <v>4737</v>
      </c>
      <c r="B830" s="193" t="s">
        <v>4748</v>
      </c>
      <c r="C830" s="193" t="s">
        <v>4749</v>
      </c>
      <c r="D830" s="193" t="s">
        <v>4750</v>
      </c>
      <c r="E830" s="193" t="s">
        <v>4751</v>
      </c>
      <c r="F830" s="193" t="s">
        <v>4752</v>
      </c>
      <c r="G830" s="194" t="s">
        <v>4753</v>
      </c>
    </row>
    <row r="831">
      <c r="A831" s="195" t="s">
        <v>4737</v>
      </c>
      <c r="B831" s="195" t="s">
        <v>4754</v>
      </c>
      <c r="C831" s="195" t="s">
        <v>4755</v>
      </c>
      <c r="D831" s="196"/>
      <c r="E831" s="195" t="s">
        <v>4756</v>
      </c>
      <c r="F831" s="196"/>
      <c r="G831" s="197" t="s">
        <v>4757</v>
      </c>
    </row>
    <row r="832">
      <c r="A832" s="193" t="s">
        <v>4737</v>
      </c>
      <c r="B832" s="193" t="s">
        <v>4758</v>
      </c>
      <c r="C832" s="193" t="s">
        <v>4759</v>
      </c>
      <c r="D832" s="198"/>
      <c r="E832" s="193" t="s">
        <v>4760</v>
      </c>
      <c r="F832" s="193" t="s">
        <v>4761</v>
      </c>
      <c r="G832" s="194" t="s">
        <v>4762</v>
      </c>
    </row>
    <row r="833">
      <c r="A833" s="195" t="s">
        <v>4737</v>
      </c>
      <c r="B833" s="195" t="s">
        <v>4763</v>
      </c>
      <c r="C833" s="195" t="s">
        <v>4764</v>
      </c>
      <c r="D833" s="195" t="s">
        <v>4765</v>
      </c>
      <c r="E833" s="195" t="s">
        <v>4766</v>
      </c>
      <c r="F833" s="195" t="s">
        <v>4767</v>
      </c>
      <c r="G833" s="197" t="s">
        <v>4768</v>
      </c>
    </row>
    <row r="834">
      <c r="A834" s="193" t="s">
        <v>4737</v>
      </c>
      <c r="B834" s="193" t="s">
        <v>4769</v>
      </c>
      <c r="C834" s="193" t="s">
        <v>4770</v>
      </c>
      <c r="D834" s="193" t="s">
        <v>4771</v>
      </c>
      <c r="E834" s="193" t="s">
        <v>4772</v>
      </c>
      <c r="F834" s="193" t="s">
        <v>4773</v>
      </c>
      <c r="G834" s="194" t="s">
        <v>4774</v>
      </c>
    </row>
    <row r="835">
      <c r="A835" s="195" t="s">
        <v>4737</v>
      </c>
      <c r="B835" s="195" t="s">
        <v>4775</v>
      </c>
      <c r="C835" s="195" t="s">
        <v>4776</v>
      </c>
      <c r="D835" s="195" t="s">
        <v>4777</v>
      </c>
      <c r="E835" s="195" t="s">
        <v>4778</v>
      </c>
      <c r="F835" s="195" t="s">
        <v>4779</v>
      </c>
      <c r="G835" s="197" t="s">
        <v>4780</v>
      </c>
    </row>
    <row r="836">
      <c r="A836" s="186" t="s">
        <v>4407</v>
      </c>
      <c r="B836" s="186" t="s">
        <v>4408</v>
      </c>
      <c r="C836" s="186" t="s">
        <v>4409</v>
      </c>
      <c r="D836" s="186" t="s">
        <v>4410</v>
      </c>
      <c r="E836" s="186" t="s">
        <v>4411</v>
      </c>
      <c r="F836" s="186" t="s">
        <v>4412</v>
      </c>
      <c r="G836" s="187" t="s">
        <v>4413</v>
      </c>
    </row>
    <row r="837">
      <c r="A837" s="186" t="s">
        <v>4407</v>
      </c>
      <c r="B837" s="186" t="s">
        <v>4414</v>
      </c>
      <c r="C837" s="186" t="s">
        <v>4415</v>
      </c>
      <c r="D837" s="186" t="s">
        <v>4416</v>
      </c>
      <c r="E837" s="186" t="s">
        <v>4417</v>
      </c>
      <c r="F837" s="186" t="s">
        <v>4418</v>
      </c>
      <c r="G837" s="187" t="s">
        <v>4419</v>
      </c>
    </row>
    <row r="838">
      <c r="A838" s="186" t="s">
        <v>4407</v>
      </c>
      <c r="B838" s="186" t="s">
        <v>4420</v>
      </c>
      <c r="C838" s="186" t="s">
        <v>4421</v>
      </c>
      <c r="D838" s="186" t="s">
        <v>4422</v>
      </c>
      <c r="E838" s="186" t="s">
        <v>4423</v>
      </c>
      <c r="F838" s="186" t="s">
        <v>4424</v>
      </c>
      <c r="G838" s="187" t="s">
        <v>4425</v>
      </c>
    </row>
    <row r="839">
      <c r="A839" s="186" t="s">
        <v>4407</v>
      </c>
      <c r="B839" s="186" t="s">
        <v>4426</v>
      </c>
      <c r="C839" s="186" t="s">
        <v>4427</v>
      </c>
      <c r="D839" s="186" t="s">
        <v>4428</v>
      </c>
      <c r="E839" s="186" t="s">
        <v>4429</v>
      </c>
      <c r="F839" s="186" t="s">
        <v>4430</v>
      </c>
      <c r="G839" s="187" t="s">
        <v>4431</v>
      </c>
    </row>
    <row r="840">
      <c r="A840" s="186" t="s">
        <v>4407</v>
      </c>
      <c r="B840" s="186" t="s">
        <v>4432</v>
      </c>
      <c r="C840" s="186" t="s">
        <v>4433</v>
      </c>
      <c r="D840" s="186" t="s">
        <v>4434</v>
      </c>
      <c r="E840" s="186" t="s">
        <v>4435</v>
      </c>
      <c r="F840" s="186" t="s">
        <v>4436</v>
      </c>
      <c r="G840" s="187" t="s">
        <v>4437</v>
      </c>
    </row>
    <row r="841">
      <c r="A841" s="186" t="s">
        <v>4407</v>
      </c>
      <c r="B841" s="186" t="s">
        <v>4438</v>
      </c>
      <c r="C841" s="186" t="s">
        <v>4439</v>
      </c>
      <c r="D841" s="186" t="s">
        <v>4440</v>
      </c>
      <c r="E841" s="186" t="s">
        <v>4441</v>
      </c>
      <c r="F841" s="186" t="s">
        <v>4442</v>
      </c>
      <c r="G841" s="187" t="s">
        <v>4443</v>
      </c>
    </row>
    <row r="842">
      <c r="A842" s="186" t="s">
        <v>4407</v>
      </c>
      <c r="B842" s="186" t="s">
        <v>4444</v>
      </c>
      <c r="C842" s="186" t="s">
        <v>4445</v>
      </c>
      <c r="D842" s="186" t="s">
        <v>4446</v>
      </c>
      <c r="E842" s="186" t="s">
        <v>4447</v>
      </c>
      <c r="F842" s="186" t="s">
        <v>4448</v>
      </c>
      <c r="G842" s="187" t="s">
        <v>4449</v>
      </c>
    </row>
    <row r="843">
      <c r="A843" s="186" t="s">
        <v>4407</v>
      </c>
      <c r="B843" s="186" t="s">
        <v>4450</v>
      </c>
      <c r="C843" s="186" t="s">
        <v>4451</v>
      </c>
      <c r="D843" s="186" t="s">
        <v>4452</v>
      </c>
      <c r="E843" s="186" t="s">
        <v>4453</v>
      </c>
      <c r="F843" s="186" t="s">
        <v>4454</v>
      </c>
      <c r="G843" s="187" t="s">
        <v>4455</v>
      </c>
    </row>
    <row r="844">
      <c r="A844" s="186" t="s">
        <v>4407</v>
      </c>
      <c r="B844" s="186" t="s">
        <v>4456</v>
      </c>
      <c r="C844" s="186" t="s">
        <v>4457</v>
      </c>
      <c r="D844" s="186" t="s">
        <v>4458</v>
      </c>
      <c r="E844" s="186" t="s">
        <v>4459</v>
      </c>
      <c r="F844" s="199"/>
      <c r="G844" s="187" t="s">
        <v>4460</v>
      </c>
    </row>
    <row r="845">
      <c r="A845" s="186" t="s">
        <v>4407</v>
      </c>
      <c r="B845" s="186" t="s">
        <v>4461</v>
      </c>
      <c r="C845" s="186" t="s">
        <v>4462</v>
      </c>
      <c r="D845" s="186" t="s">
        <v>4463</v>
      </c>
      <c r="E845" s="186" t="s">
        <v>4464</v>
      </c>
      <c r="F845" s="186" t="s">
        <v>4465</v>
      </c>
      <c r="G845" s="187" t="s">
        <v>4466</v>
      </c>
    </row>
    <row r="846">
      <c r="A846" s="186" t="s">
        <v>4407</v>
      </c>
      <c r="B846" s="186" t="s">
        <v>4467</v>
      </c>
      <c r="C846" s="186" t="s">
        <v>4468</v>
      </c>
      <c r="D846" s="186" t="s">
        <v>4469</v>
      </c>
      <c r="E846" s="186" t="s">
        <v>4470</v>
      </c>
      <c r="F846" s="186" t="s">
        <v>4471</v>
      </c>
      <c r="G846" s="187" t="s">
        <v>4472</v>
      </c>
    </row>
    <row r="847">
      <c r="A847" s="186" t="s">
        <v>4407</v>
      </c>
      <c r="B847" s="186" t="s">
        <v>4473</v>
      </c>
      <c r="C847" s="186" t="s">
        <v>4474</v>
      </c>
      <c r="D847" s="186" t="s">
        <v>4475</v>
      </c>
      <c r="E847" s="186" t="s">
        <v>4476</v>
      </c>
      <c r="F847" s="186" t="s">
        <v>4477</v>
      </c>
      <c r="G847" s="187" t="s">
        <v>4478</v>
      </c>
    </row>
    <row r="848">
      <c r="A848" s="121" t="s">
        <v>4781</v>
      </c>
      <c r="B848" s="121" t="s">
        <v>105</v>
      </c>
      <c r="C848" s="121" t="s">
        <v>4782</v>
      </c>
      <c r="D848" s="121" t="s">
        <v>4783</v>
      </c>
      <c r="E848" s="121" t="s">
        <v>4784</v>
      </c>
      <c r="F848" s="121" t="s">
        <v>4785</v>
      </c>
      <c r="G848" s="122" t="s">
        <v>4786</v>
      </c>
    </row>
    <row r="849">
      <c r="A849" s="118" t="s">
        <v>4781</v>
      </c>
      <c r="B849" s="118" t="s">
        <v>4787</v>
      </c>
      <c r="C849" s="118" t="s">
        <v>4788</v>
      </c>
      <c r="D849" s="118" t="s">
        <v>4789</v>
      </c>
      <c r="E849" s="118" t="s">
        <v>4790</v>
      </c>
      <c r="F849" s="123"/>
      <c r="G849" s="119" t="s">
        <v>4791</v>
      </c>
    </row>
    <row r="850">
      <c r="A850" s="121" t="s">
        <v>4781</v>
      </c>
      <c r="B850" s="121" t="s">
        <v>4792</v>
      </c>
      <c r="C850" s="121" t="s">
        <v>4793</v>
      </c>
      <c r="D850" s="121" t="s">
        <v>4794</v>
      </c>
      <c r="E850" s="121" t="s">
        <v>4795</v>
      </c>
      <c r="F850" s="121" t="s">
        <v>4796</v>
      </c>
      <c r="G850" s="122" t="s">
        <v>4797</v>
      </c>
    </row>
    <row r="851">
      <c r="A851" s="118" t="s">
        <v>4781</v>
      </c>
      <c r="B851" s="118" t="s">
        <v>4798</v>
      </c>
      <c r="C851" s="118" t="s">
        <v>4799</v>
      </c>
      <c r="D851" s="123"/>
      <c r="E851" s="123"/>
      <c r="F851" s="123"/>
      <c r="G851" s="119" t="s">
        <v>4800</v>
      </c>
    </row>
    <row r="852">
      <c r="A852" s="121" t="s">
        <v>4781</v>
      </c>
      <c r="B852" s="121" t="s">
        <v>4801</v>
      </c>
      <c r="C852" s="121" t="s">
        <v>4802</v>
      </c>
      <c r="D852" s="121" t="s">
        <v>4803</v>
      </c>
      <c r="E852" s="121" t="s">
        <v>4804</v>
      </c>
      <c r="F852" s="121" t="s">
        <v>4805</v>
      </c>
      <c r="G852" s="122" t="s">
        <v>4806</v>
      </c>
    </row>
    <row r="853">
      <c r="A853" s="118" t="s">
        <v>4781</v>
      </c>
      <c r="B853" s="118" t="s">
        <v>4130</v>
      </c>
      <c r="C853" s="118" t="s">
        <v>4807</v>
      </c>
      <c r="D853" s="118" t="s">
        <v>4808</v>
      </c>
      <c r="E853" s="118" t="s">
        <v>4809</v>
      </c>
      <c r="F853" s="118" t="s">
        <v>4810</v>
      </c>
      <c r="G853" s="119" t="s">
        <v>4811</v>
      </c>
    </row>
    <row r="854">
      <c r="A854" s="200" t="s">
        <v>4812</v>
      </c>
      <c r="B854" s="200" t="s">
        <v>4813</v>
      </c>
      <c r="C854" s="200" t="s">
        <v>4814</v>
      </c>
      <c r="D854" s="200" t="s">
        <v>4815</v>
      </c>
      <c r="E854" s="200" t="s">
        <v>4816</v>
      </c>
      <c r="F854" s="201"/>
      <c r="G854" s="202" t="s">
        <v>4817</v>
      </c>
      <c r="H854" s="200" t="s">
        <v>4818</v>
      </c>
    </row>
    <row r="855">
      <c r="A855" s="203" t="s">
        <v>4812</v>
      </c>
      <c r="B855" s="203" t="s">
        <v>4819</v>
      </c>
      <c r="C855" s="203" t="s">
        <v>4820</v>
      </c>
      <c r="D855" s="203" t="s">
        <v>4821</v>
      </c>
      <c r="E855" s="204"/>
      <c r="F855" s="204"/>
      <c r="G855" s="205" t="s">
        <v>4822</v>
      </c>
      <c r="H855" s="203" t="s">
        <v>4823</v>
      </c>
    </row>
    <row r="856">
      <c r="A856" s="200" t="s">
        <v>4812</v>
      </c>
      <c r="B856" s="200" t="s">
        <v>4824</v>
      </c>
      <c r="C856" s="200" t="s">
        <v>4825</v>
      </c>
      <c r="D856" s="200" t="s">
        <v>4826</v>
      </c>
      <c r="E856" s="200" t="s">
        <v>4827</v>
      </c>
      <c r="F856" s="200" t="s">
        <v>4828</v>
      </c>
      <c r="G856" s="202" t="s">
        <v>4829</v>
      </c>
      <c r="H856" s="201"/>
    </row>
    <row r="857">
      <c r="A857" s="203" t="s">
        <v>4812</v>
      </c>
      <c r="B857" s="203" t="s">
        <v>4830</v>
      </c>
      <c r="C857" s="203" t="s">
        <v>4831</v>
      </c>
      <c r="D857" s="203" t="s">
        <v>4832</v>
      </c>
      <c r="E857" s="203" t="s">
        <v>4833</v>
      </c>
      <c r="F857" s="204"/>
      <c r="G857" s="205" t="s">
        <v>4834</v>
      </c>
      <c r="H857" s="203" t="s">
        <v>4835</v>
      </c>
    </row>
    <row r="858">
      <c r="A858" s="200" t="s">
        <v>4812</v>
      </c>
      <c r="B858" s="200" t="s">
        <v>825</v>
      </c>
      <c r="C858" s="200" t="s">
        <v>4836</v>
      </c>
      <c r="D858" s="200" t="s">
        <v>4837</v>
      </c>
      <c r="E858" s="200" t="s">
        <v>4838</v>
      </c>
      <c r="F858" s="201"/>
      <c r="G858" s="202" t="s">
        <v>4839</v>
      </c>
      <c r="H858" s="200" t="s">
        <v>4840</v>
      </c>
    </row>
    <row r="859">
      <c r="A859" s="203" t="s">
        <v>4812</v>
      </c>
      <c r="B859" s="203" t="s">
        <v>4841</v>
      </c>
      <c r="C859" s="203" t="s">
        <v>4842</v>
      </c>
      <c r="D859" s="203" t="s">
        <v>4843</v>
      </c>
      <c r="E859" s="203" t="s">
        <v>4844</v>
      </c>
      <c r="F859" s="204"/>
      <c r="G859" s="205" t="s">
        <v>4845</v>
      </c>
      <c r="H859" s="203" t="s">
        <v>4835</v>
      </c>
    </row>
    <row r="860">
      <c r="A860" s="200" t="s">
        <v>4812</v>
      </c>
      <c r="B860" s="200" t="s">
        <v>4846</v>
      </c>
      <c r="C860" s="200" t="s">
        <v>4847</v>
      </c>
      <c r="D860" s="200" t="s">
        <v>4848</v>
      </c>
      <c r="E860" s="200" t="s">
        <v>4849</v>
      </c>
      <c r="F860" s="200" t="s">
        <v>4850</v>
      </c>
      <c r="G860" s="202" t="s">
        <v>4851</v>
      </c>
      <c r="H860" s="201"/>
    </row>
    <row r="861">
      <c r="A861" s="203" t="s">
        <v>4812</v>
      </c>
      <c r="B861" s="203" t="s">
        <v>4852</v>
      </c>
      <c r="C861" s="203" t="s">
        <v>4853</v>
      </c>
      <c r="D861" s="203" t="s">
        <v>4854</v>
      </c>
      <c r="E861" s="203" t="s">
        <v>4855</v>
      </c>
      <c r="F861" s="203" t="s">
        <v>4856</v>
      </c>
      <c r="G861" s="205" t="s">
        <v>4857</v>
      </c>
      <c r="H861" s="204"/>
    </row>
    <row r="862">
      <c r="A862" s="200" t="s">
        <v>4812</v>
      </c>
      <c r="B862" s="200" t="s">
        <v>4858</v>
      </c>
      <c r="C862" s="200" t="s">
        <v>4859</v>
      </c>
      <c r="D862" s="200" t="s">
        <v>4860</v>
      </c>
      <c r="E862" s="200" t="s">
        <v>4861</v>
      </c>
      <c r="F862" s="201"/>
      <c r="G862" s="202" t="s">
        <v>4862</v>
      </c>
      <c r="H862" s="200" t="s">
        <v>4835</v>
      </c>
    </row>
    <row r="863">
      <c r="A863" s="203" t="s">
        <v>4812</v>
      </c>
      <c r="B863" s="203" t="s">
        <v>4863</v>
      </c>
      <c r="C863" s="203" t="s">
        <v>4864</v>
      </c>
      <c r="D863" s="203" t="s">
        <v>4865</v>
      </c>
      <c r="E863" s="203" t="s">
        <v>4866</v>
      </c>
      <c r="F863" s="204"/>
      <c r="G863" s="205" t="s">
        <v>4867</v>
      </c>
      <c r="H863" s="203" t="s">
        <v>4835</v>
      </c>
    </row>
    <row r="864">
      <c r="A864" s="200" t="s">
        <v>4812</v>
      </c>
      <c r="B864" s="200" t="s">
        <v>4868</v>
      </c>
      <c r="C864" s="200" t="s">
        <v>4869</v>
      </c>
      <c r="D864" s="200" t="s">
        <v>4870</v>
      </c>
      <c r="E864" s="200" t="s">
        <v>4871</v>
      </c>
      <c r="F864" s="200" t="s">
        <v>4872</v>
      </c>
      <c r="G864" s="202" t="s">
        <v>4873</v>
      </c>
      <c r="H864" s="201"/>
    </row>
    <row r="865">
      <c r="A865" s="203" t="s">
        <v>4812</v>
      </c>
      <c r="B865" s="203" t="s">
        <v>4560</v>
      </c>
      <c r="C865" s="203" t="s">
        <v>4874</v>
      </c>
      <c r="D865" s="203" t="s">
        <v>4875</v>
      </c>
      <c r="E865" s="203" t="s">
        <v>4876</v>
      </c>
      <c r="F865" s="203" t="s">
        <v>4877</v>
      </c>
      <c r="G865" s="205" t="s">
        <v>4878</v>
      </c>
      <c r="H865" s="203" t="s">
        <v>4879</v>
      </c>
    </row>
    <row r="866">
      <c r="A866" s="200" t="s">
        <v>4812</v>
      </c>
      <c r="B866" s="200" t="s">
        <v>4880</v>
      </c>
      <c r="C866" s="200" t="s">
        <v>4881</v>
      </c>
      <c r="D866" s="200" t="s">
        <v>4882</v>
      </c>
      <c r="E866" s="201" t="str">
        <f>+90 (432) 214 00 90</f>
        <v>#ERROR!</v>
      </c>
      <c r="F866" s="200" t="s">
        <v>4883</v>
      </c>
      <c r="G866" s="202" t="s">
        <v>4884</v>
      </c>
      <c r="H866" s="201"/>
    </row>
    <row r="867">
      <c r="A867" s="206" t="s">
        <v>4885</v>
      </c>
      <c r="B867" s="206" t="s">
        <v>4886</v>
      </c>
      <c r="C867" s="206" t="s">
        <v>4887</v>
      </c>
      <c r="D867" s="206" t="s">
        <v>4888</v>
      </c>
      <c r="E867" s="206" t="s">
        <v>4889</v>
      </c>
      <c r="F867" s="207"/>
      <c r="G867" s="208" t="s">
        <v>4890</v>
      </c>
      <c r="H867" s="206" t="s">
        <v>4891</v>
      </c>
    </row>
    <row r="868">
      <c r="A868" s="206" t="s">
        <v>4885</v>
      </c>
      <c r="B868" s="206" t="s">
        <v>2457</v>
      </c>
      <c r="C868" s="206" t="s">
        <v>4892</v>
      </c>
      <c r="D868" s="206" t="s">
        <v>4893</v>
      </c>
      <c r="E868" s="206" t="s">
        <v>4894</v>
      </c>
      <c r="F868" s="206" t="s">
        <v>4895</v>
      </c>
      <c r="G868" s="208" t="s">
        <v>4896</v>
      </c>
      <c r="H868" s="207"/>
    </row>
    <row r="869">
      <c r="A869" s="206" t="s">
        <v>4885</v>
      </c>
      <c r="B869" s="206" t="s">
        <v>4897</v>
      </c>
      <c r="C869" s="206" t="s">
        <v>4898</v>
      </c>
      <c r="D869" s="206" t="s">
        <v>4899</v>
      </c>
      <c r="E869" s="206" t="s">
        <v>4900</v>
      </c>
      <c r="F869" s="206" t="s">
        <v>4901</v>
      </c>
      <c r="G869" s="208" t="s">
        <v>4902</v>
      </c>
      <c r="H869" s="207"/>
    </row>
    <row r="870">
      <c r="A870" s="206" t="s">
        <v>4885</v>
      </c>
      <c r="B870" s="206" t="s">
        <v>4903</v>
      </c>
      <c r="C870" s="206" t="s">
        <v>4904</v>
      </c>
      <c r="D870" s="206" t="s">
        <v>4905</v>
      </c>
      <c r="E870" s="206" t="s">
        <v>4906</v>
      </c>
      <c r="F870" s="206" t="s">
        <v>4907</v>
      </c>
      <c r="G870" s="208" t="s">
        <v>4908</v>
      </c>
      <c r="H870" s="207"/>
    </row>
    <row r="871">
      <c r="A871" s="206" t="s">
        <v>4885</v>
      </c>
      <c r="B871" s="206" t="s">
        <v>4909</v>
      </c>
      <c r="C871" s="206" t="s">
        <v>4910</v>
      </c>
      <c r="D871" s="206" t="s">
        <v>4911</v>
      </c>
      <c r="E871" s="206" t="s">
        <v>4912</v>
      </c>
      <c r="F871" s="206" t="s">
        <v>4913</v>
      </c>
      <c r="G871" s="208" t="s">
        <v>4914</v>
      </c>
      <c r="H871" s="207"/>
    </row>
    <row r="872">
      <c r="A872" s="206" t="s">
        <v>4885</v>
      </c>
      <c r="B872" s="206" t="s">
        <v>4915</v>
      </c>
      <c r="C872" s="206" t="s">
        <v>4916</v>
      </c>
      <c r="D872" s="206" t="s">
        <v>4917</v>
      </c>
      <c r="E872" s="206" t="s">
        <v>4918</v>
      </c>
      <c r="F872" s="206" t="s">
        <v>4919</v>
      </c>
      <c r="G872" s="208" t="s">
        <v>4920</v>
      </c>
      <c r="H872" s="207"/>
    </row>
    <row r="873">
      <c r="A873" s="206" t="s">
        <v>4885</v>
      </c>
      <c r="B873" s="206" t="s">
        <v>4921</v>
      </c>
      <c r="C873" s="206" t="s">
        <v>4922</v>
      </c>
      <c r="D873" s="206" t="s">
        <v>4923</v>
      </c>
      <c r="E873" s="206" t="s">
        <v>4924</v>
      </c>
      <c r="F873" s="206" t="s">
        <v>4925</v>
      </c>
      <c r="G873" s="208" t="s">
        <v>4926</v>
      </c>
      <c r="H873" s="207"/>
    </row>
    <row r="874">
      <c r="A874" s="206" t="s">
        <v>4885</v>
      </c>
      <c r="B874" s="206" t="s">
        <v>4927</v>
      </c>
      <c r="C874" s="206" t="s">
        <v>4928</v>
      </c>
      <c r="D874" s="206" t="s">
        <v>4929</v>
      </c>
      <c r="E874" s="206" t="s">
        <v>4930</v>
      </c>
      <c r="F874" s="206" t="s">
        <v>4931</v>
      </c>
      <c r="G874" s="208" t="s">
        <v>4932</v>
      </c>
      <c r="H874" s="207"/>
    </row>
    <row r="875">
      <c r="A875" s="206" t="s">
        <v>4885</v>
      </c>
      <c r="B875" s="206" t="s">
        <v>4933</v>
      </c>
      <c r="C875" s="206" t="s">
        <v>4934</v>
      </c>
      <c r="D875" s="206" t="s">
        <v>4935</v>
      </c>
      <c r="E875" s="206" t="s">
        <v>4936</v>
      </c>
      <c r="F875" s="206" t="s">
        <v>4937</v>
      </c>
      <c r="G875" s="208" t="s">
        <v>4938</v>
      </c>
      <c r="H875" s="207"/>
    </row>
    <row r="876">
      <c r="A876" s="206" t="s">
        <v>4885</v>
      </c>
      <c r="B876" s="206" t="s">
        <v>4939</v>
      </c>
      <c r="C876" s="206" t="s">
        <v>4940</v>
      </c>
      <c r="D876" s="206" t="s">
        <v>4941</v>
      </c>
      <c r="E876" s="207" t="str">
        <f>+90 (354) 772 18 49</f>
        <v>#ERROR!</v>
      </c>
      <c r="F876" s="207"/>
      <c r="G876" s="208" t="s">
        <v>4942</v>
      </c>
      <c r="H876" s="206" t="s">
        <v>4943</v>
      </c>
    </row>
    <row r="877">
      <c r="A877" s="206" t="s">
        <v>4885</v>
      </c>
      <c r="B877" s="206" t="s">
        <v>4944</v>
      </c>
      <c r="C877" s="206" t="s">
        <v>4945</v>
      </c>
      <c r="D877" s="206" t="s">
        <v>4946</v>
      </c>
      <c r="E877" s="206" t="s">
        <v>4947</v>
      </c>
      <c r="F877" s="206" t="s">
        <v>4948</v>
      </c>
      <c r="G877" s="208" t="s">
        <v>4949</v>
      </c>
      <c r="H877" s="207"/>
    </row>
    <row r="878">
      <c r="A878" s="206" t="s">
        <v>4885</v>
      </c>
      <c r="B878" s="206" t="s">
        <v>4950</v>
      </c>
      <c r="C878" s="206" t="s">
        <v>4951</v>
      </c>
      <c r="D878" s="206" t="s">
        <v>4952</v>
      </c>
      <c r="E878" s="206" t="s">
        <v>4953</v>
      </c>
      <c r="F878" s="207"/>
      <c r="G878" s="208" t="s">
        <v>4954</v>
      </c>
      <c r="H878" s="206" t="s">
        <v>4955</v>
      </c>
    </row>
    <row r="879">
      <c r="A879" s="209" t="s">
        <v>4885</v>
      </c>
      <c r="B879" s="209" t="s">
        <v>4956</v>
      </c>
      <c r="C879" s="209" t="s">
        <v>4957</v>
      </c>
      <c r="D879" s="209" t="s">
        <v>4958</v>
      </c>
      <c r="E879" s="209" t="s">
        <v>4959</v>
      </c>
      <c r="F879" s="209" t="s">
        <v>4960</v>
      </c>
      <c r="G879" s="210" t="s">
        <v>4961</v>
      </c>
      <c r="H879" s="209" t="s">
        <v>4962</v>
      </c>
    </row>
    <row r="880">
      <c r="A880" s="206" t="s">
        <v>4885</v>
      </c>
      <c r="B880" s="206" t="s">
        <v>4963</v>
      </c>
      <c r="C880" s="206" t="s">
        <v>4964</v>
      </c>
      <c r="D880" s="206" t="s">
        <v>4965</v>
      </c>
      <c r="E880" s="206" t="s">
        <v>4966</v>
      </c>
      <c r="F880" s="207"/>
      <c r="G880" s="208" t="s">
        <v>4967</v>
      </c>
      <c r="H880" s="206" t="s">
        <v>4891</v>
      </c>
    </row>
    <row r="881">
      <c r="A881" s="93" t="s">
        <v>4968</v>
      </c>
      <c r="B881" s="93" t="s">
        <v>105</v>
      </c>
      <c r="C881" s="93" t="s">
        <v>4969</v>
      </c>
      <c r="D881" s="93" t="s">
        <v>4970</v>
      </c>
      <c r="E881" s="93" t="s">
        <v>4971</v>
      </c>
      <c r="F881" s="93" t="s">
        <v>4972</v>
      </c>
      <c r="G881" s="94" t="s">
        <v>4973</v>
      </c>
    </row>
    <row r="882">
      <c r="A882" s="74" t="s">
        <v>4968</v>
      </c>
      <c r="B882" s="74" t="s">
        <v>4974</v>
      </c>
      <c r="C882" s="74" t="s">
        <v>4975</v>
      </c>
      <c r="D882" s="74" t="s">
        <v>4976</v>
      </c>
      <c r="E882" s="74" t="s">
        <v>4977</v>
      </c>
      <c r="F882" s="74" t="s">
        <v>4978</v>
      </c>
      <c r="G882" s="75" t="s">
        <v>4979</v>
      </c>
    </row>
    <row r="883">
      <c r="A883" s="93" t="s">
        <v>4968</v>
      </c>
      <c r="B883" s="93" t="s">
        <v>4980</v>
      </c>
      <c r="C883" s="93" t="s">
        <v>4981</v>
      </c>
      <c r="D883" s="93" t="s">
        <v>4982</v>
      </c>
      <c r="E883" s="93" t="s">
        <v>4983</v>
      </c>
      <c r="F883" s="93" t="s">
        <v>4984</v>
      </c>
      <c r="G883" s="94" t="s">
        <v>4985</v>
      </c>
    </row>
    <row r="884">
      <c r="A884" s="74" t="s">
        <v>4968</v>
      </c>
      <c r="B884" s="74" t="s">
        <v>4986</v>
      </c>
      <c r="C884" s="74" t="s">
        <v>4987</v>
      </c>
      <c r="D884" s="74" t="s">
        <v>4988</v>
      </c>
      <c r="E884" s="74" t="s">
        <v>4989</v>
      </c>
      <c r="F884" s="77"/>
      <c r="G884" s="75" t="s">
        <v>4990</v>
      </c>
    </row>
    <row r="885">
      <c r="A885" s="93" t="s">
        <v>4968</v>
      </c>
      <c r="B885" s="93" t="s">
        <v>3380</v>
      </c>
      <c r="C885" s="93" t="s">
        <v>4991</v>
      </c>
      <c r="D885" s="93" t="s">
        <v>4992</v>
      </c>
      <c r="E885" s="93" t="s">
        <v>4993</v>
      </c>
      <c r="F885" s="93" t="s">
        <v>4994</v>
      </c>
      <c r="G885" s="94" t="s">
        <v>4995</v>
      </c>
    </row>
    <row r="886">
      <c r="A886" s="74" t="s">
        <v>4968</v>
      </c>
      <c r="B886" s="74" t="s">
        <v>4996</v>
      </c>
      <c r="C886" s="74" t="s">
        <v>4997</v>
      </c>
      <c r="D886" s="74" t="s">
        <v>4998</v>
      </c>
      <c r="E886" s="74" t="s">
        <v>4999</v>
      </c>
      <c r="F886" s="74" t="s">
        <v>5000</v>
      </c>
      <c r="G886" s="75" t="s">
        <v>5001</v>
      </c>
    </row>
    <row r="887">
      <c r="A887" s="93" t="s">
        <v>4968</v>
      </c>
      <c r="B887" s="93" t="s">
        <v>5002</v>
      </c>
      <c r="C887" s="93" t="s">
        <v>5003</v>
      </c>
      <c r="D887" s="93" t="s">
        <v>5004</v>
      </c>
      <c r="E887" s="93" t="s">
        <v>5005</v>
      </c>
      <c r="F887" s="93" t="s">
        <v>5006</v>
      </c>
      <c r="G887" s="94" t="s">
        <v>5007</v>
      </c>
    </row>
    <row r="888">
      <c r="A888" s="74" t="s">
        <v>4968</v>
      </c>
      <c r="B888" s="74" t="s">
        <v>5008</v>
      </c>
      <c r="C888" s="74" t="s">
        <v>5009</v>
      </c>
      <c r="D888" s="74" t="s">
        <v>5010</v>
      </c>
      <c r="E888" s="74" t="s">
        <v>5011</v>
      </c>
      <c r="F888" s="74" t="s">
        <v>5012</v>
      </c>
      <c r="G888" s="75" t="s">
        <v>5013</v>
      </c>
    </row>
    <row r="889">
      <c r="A889" s="84" t="s">
        <v>5014</v>
      </c>
      <c r="B889" s="84" t="s">
        <v>105</v>
      </c>
      <c r="C889" s="84" t="s">
        <v>5015</v>
      </c>
      <c r="D889" s="84" t="s">
        <v>5016</v>
      </c>
      <c r="E889" s="84" t="s">
        <v>5017</v>
      </c>
      <c r="F889" s="86"/>
      <c r="G889" s="85" t="s">
        <v>5018</v>
      </c>
    </row>
    <row r="890">
      <c r="A890" s="74" t="s">
        <v>5014</v>
      </c>
      <c r="B890" s="74" t="s">
        <v>5019</v>
      </c>
      <c r="C890" s="74" t="s">
        <v>5020</v>
      </c>
      <c r="D890" s="74" t="s">
        <v>5021</v>
      </c>
      <c r="E890" s="74" t="s">
        <v>5022</v>
      </c>
      <c r="F890" s="77"/>
      <c r="G890" s="75" t="s">
        <v>5023</v>
      </c>
    </row>
    <row r="891">
      <c r="A891" s="84" t="s">
        <v>5014</v>
      </c>
      <c r="B891" s="84" t="s">
        <v>5024</v>
      </c>
      <c r="C891" s="84" t="s">
        <v>5025</v>
      </c>
      <c r="D891" s="84" t="s">
        <v>5026</v>
      </c>
      <c r="E891" s="84" t="s">
        <v>5027</v>
      </c>
      <c r="F891" s="84" t="s">
        <v>5028</v>
      </c>
      <c r="G891" s="85" t="s">
        <v>5029</v>
      </c>
    </row>
    <row r="892">
      <c r="A892" s="74" t="s">
        <v>5014</v>
      </c>
      <c r="B892" s="74" t="s">
        <v>5030</v>
      </c>
      <c r="C892" s="74" t="s">
        <v>5031</v>
      </c>
      <c r="D892" s="74" t="s">
        <v>5032</v>
      </c>
      <c r="E892" s="74" t="s">
        <v>5033</v>
      </c>
      <c r="F892" s="74" t="s">
        <v>5034</v>
      </c>
      <c r="G892" s="75" t="s">
        <v>5035</v>
      </c>
    </row>
    <row r="893">
      <c r="A893" s="84" t="s">
        <v>5014</v>
      </c>
      <c r="B893" s="84" t="s">
        <v>5036</v>
      </c>
      <c r="C893" s="84" t="s">
        <v>5037</v>
      </c>
      <c r="D893" s="84" t="s">
        <v>5038</v>
      </c>
      <c r="E893" s="84" t="s">
        <v>5039</v>
      </c>
      <c r="F893" s="84" t="s">
        <v>5040</v>
      </c>
      <c r="G893" s="85" t="s">
        <v>5041</v>
      </c>
    </row>
    <row r="894">
      <c r="A894" s="74" t="s">
        <v>5014</v>
      </c>
      <c r="B894" s="74" t="s">
        <v>1458</v>
      </c>
      <c r="C894" s="74" t="s">
        <v>5042</v>
      </c>
      <c r="D894" s="74" t="s">
        <v>5043</v>
      </c>
      <c r="E894" s="74" t="s">
        <v>5044</v>
      </c>
      <c r="F894" s="77"/>
      <c r="G894" s="75" t="s">
        <v>5045</v>
      </c>
    </row>
    <row r="895">
      <c r="A895" s="84" t="s">
        <v>5014</v>
      </c>
      <c r="B895" s="84" t="s">
        <v>5046</v>
      </c>
      <c r="C895" s="84" t="s">
        <v>5047</v>
      </c>
      <c r="D895" s="84" t="s">
        <v>5048</v>
      </c>
      <c r="E895" s="84" t="s">
        <v>5049</v>
      </c>
      <c r="F895" s="84" t="s">
        <v>5050</v>
      </c>
      <c r="G895" s="85" t="s">
        <v>5051</v>
      </c>
    </row>
    <row r="896">
      <c r="A896" s="74" t="s">
        <v>5014</v>
      </c>
      <c r="B896" s="74" t="s">
        <v>5052</v>
      </c>
      <c r="C896" s="74" t="s">
        <v>5053</v>
      </c>
      <c r="D896" s="74" t="s">
        <v>5054</v>
      </c>
      <c r="E896" s="74" t="s">
        <v>5055</v>
      </c>
      <c r="F896" s="77"/>
      <c r="G896" s="75" t="s">
        <v>5056</v>
      </c>
    </row>
    <row r="897">
      <c r="A897" s="138" t="s">
        <v>5057</v>
      </c>
      <c r="B897" s="138" t="s">
        <v>105</v>
      </c>
      <c r="C897" s="138" t="s">
        <v>5058</v>
      </c>
      <c r="D897" s="138" t="s">
        <v>5059</v>
      </c>
      <c r="E897" s="138" t="s">
        <v>5060</v>
      </c>
      <c r="F897" s="138" t="s">
        <v>5061</v>
      </c>
      <c r="G897" s="140" t="s">
        <v>5062</v>
      </c>
    </row>
    <row r="898">
      <c r="A898" s="42" t="s">
        <v>5057</v>
      </c>
      <c r="B898" s="42" t="s">
        <v>5063</v>
      </c>
      <c r="C898" s="42" t="s">
        <v>5064</v>
      </c>
      <c r="D898" s="42" t="s">
        <v>5065</v>
      </c>
      <c r="E898" s="44"/>
      <c r="F898" s="42" t="s">
        <v>5066</v>
      </c>
      <c r="G898" s="43" t="s">
        <v>5067</v>
      </c>
    </row>
    <row r="899">
      <c r="A899" s="138" t="s">
        <v>5057</v>
      </c>
      <c r="B899" s="138" t="s">
        <v>5068</v>
      </c>
      <c r="C899" s="138" t="s">
        <v>5069</v>
      </c>
      <c r="D899" s="138" t="s">
        <v>5070</v>
      </c>
      <c r="E899" s="138" t="s">
        <v>5071</v>
      </c>
      <c r="F899" s="139"/>
      <c r="G899" s="140" t="s">
        <v>5072</v>
      </c>
    </row>
    <row r="900">
      <c r="A900" s="211" t="s">
        <v>5073</v>
      </c>
      <c r="B900" s="211" t="s">
        <v>105</v>
      </c>
      <c r="C900" s="211" t="s">
        <v>5074</v>
      </c>
      <c r="D900" s="211" t="s">
        <v>5075</v>
      </c>
      <c r="E900" s="211" t="s">
        <v>5076</v>
      </c>
      <c r="F900" s="211" t="s">
        <v>5077</v>
      </c>
      <c r="G900" s="212" t="s">
        <v>5078</v>
      </c>
    </row>
    <row r="901">
      <c r="A901" s="151" t="s">
        <v>5073</v>
      </c>
      <c r="B901" s="151" t="s">
        <v>5079</v>
      </c>
      <c r="C901" s="151" t="s">
        <v>5080</v>
      </c>
      <c r="D901" s="151" t="s">
        <v>5081</v>
      </c>
      <c r="E901" s="151" t="s">
        <v>5082</v>
      </c>
      <c r="F901" s="153"/>
      <c r="G901" s="152" t="s">
        <v>5083</v>
      </c>
    </row>
    <row r="902">
      <c r="A902" s="211" t="s">
        <v>5073</v>
      </c>
      <c r="B902" s="211" t="s">
        <v>5084</v>
      </c>
      <c r="C902" s="211" t="s">
        <v>5085</v>
      </c>
      <c r="D902" s="211" t="s">
        <v>5086</v>
      </c>
      <c r="E902" s="211" t="s">
        <v>5087</v>
      </c>
      <c r="F902" s="211" t="s">
        <v>5088</v>
      </c>
      <c r="G902" s="212" t="s">
        <v>5089</v>
      </c>
    </row>
    <row r="903">
      <c r="A903" s="151" t="s">
        <v>5073</v>
      </c>
      <c r="B903" s="151" t="s">
        <v>5090</v>
      </c>
      <c r="C903" s="151" t="s">
        <v>5091</v>
      </c>
      <c r="D903" s="151" t="s">
        <v>5092</v>
      </c>
      <c r="E903" s="151" t="s">
        <v>5093</v>
      </c>
      <c r="F903" s="151" t="s">
        <v>5094</v>
      </c>
      <c r="G903" s="152" t="s">
        <v>5095</v>
      </c>
    </row>
    <row r="904">
      <c r="A904" s="211" t="s">
        <v>5073</v>
      </c>
      <c r="B904" s="211" t="s">
        <v>5096</v>
      </c>
      <c r="C904" s="211" t="s">
        <v>5097</v>
      </c>
      <c r="D904" s="211" t="s">
        <v>5098</v>
      </c>
      <c r="E904" s="211" t="s">
        <v>5099</v>
      </c>
      <c r="F904" s="211" t="s">
        <v>5100</v>
      </c>
      <c r="G904" s="212" t="s">
        <v>5101</v>
      </c>
    </row>
    <row r="905">
      <c r="A905" s="151" t="s">
        <v>5073</v>
      </c>
      <c r="B905" s="151" t="s">
        <v>5102</v>
      </c>
      <c r="C905" s="151" t="s">
        <v>5103</v>
      </c>
      <c r="D905" s="151" t="s">
        <v>5104</v>
      </c>
      <c r="E905" s="151" t="s">
        <v>5105</v>
      </c>
      <c r="F905" s="151" t="s">
        <v>5106</v>
      </c>
      <c r="G905" s="152" t="s">
        <v>5107</v>
      </c>
    </row>
    <row r="906">
      <c r="A906" s="97" t="s">
        <v>5108</v>
      </c>
      <c r="B906" s="97" t="s">
        <v>105</v>
      </c>
      <c r="C906" s="97" t="s">
        <v>5109</v>
      </c>
      <c r="D906" s="97" t="s">
        <v>5110</v>
      </c>
      <c r="E906" s="97" t="s">
        <v>5111</v>
      </c>
      <c r="F906" s="97" t="s">
        <v>5112</v>
      </c>
      <c r="G906" s="98" t="s">
        <v>5113</v>
      </c>
    </row>
    <row r="907">
      <c r="A907" s="99" t="s">
        <v>5108</v>
      </c>
      <c r="B907" s="99" t="s">
        <v>5114</v>
      </c>
      <c r="C907" s="99" t="s">
        <v>5115</v>
      </c>
      <c r="D907" s="99" t="s">
        <v>5116</v>
      </c>
      <c r="E907" s="99" t="s">
        <v>5117</v>
      </c>
      <c r="F907" s="100"/>
      <c r="G907" s="101" t="s">
        <v>5118</v>
      </c>
    </row>
    <row r="908">
      <c r="A908" s="97" t="s">
        <v>5108</v>
      </c>
      <c r="B908" s="97" t="s">
        <v>5119</v>
      </c>
      <c r="C908" s="97" t="s">
        <v>5120</v>
      </c>
      <c r="D908" s="97" t="s">
        <v>5121</v>
      </c>
      <c r="E908" s="97" t="s">
        <v>5122</v>
      </c>
      <c r="F908" s="97" t="s">
        <v>5123</v>
      </c>
      <c r="G908" s="98" t="s">
        <v>5124</v>
      </c>
    </row>
    <row r="909">
      <c r="A909" s="99" t="s">
        <v>5108</v>
      </c>
      <c r="B909" s="99" t="s">
        <v>5125</v>
      </c>
      <c r="C909" s="99" t="s">
        <v>5126</v>
      </c>
      <c r="D909" s="99" t="s">
        <v>5127</v>
      </c>
      <c r="E909" s="99" t="s">
        <v>5128</v>
      </c>
      <c r="F909" s="99" t="s">
        <v>5129</v>
      </c>
      <c r="G909" s="101" t="s">
        <v>5130</v>
      </c>
    </row>
    <row r="910">
      <c r="A910" s="97" t="s">
        <v>5108</v>
      </c>
      <c r="B910" s="97" t="s">
        <v>5131</v>
      </c>
      <c r="C910" s="97" t="s">
        <v>5132</v>
      </c>
      <c r="D910" s="97" t="s">
        <v>5133</v>
      </c>
      <c r="E910" s="97" t="s">
        <v>5134</v>
      </c>
      <c r="F910" s="97" t="s">
        <v>5135</v>
      </c>
      <c r="G910" s="98" t="s">
        <v>5136</v>
      </c>
    </row>
    <row r="911">
      <c r="A911" s="99" t="s">
        <v>5108</v>
      </c>
      <c r="B911" s="99" t="s">
        <v>5137</v>
      </c>
      <c r="C911" s="99" t="s">
        <v>5138</v>
      </c>
      <c r="D911" s="99" t="s">
        <v>5139</v>
      </c>
      <c r="E911" s="99" t="s">
        <v>5140</v>
      </c>
      <c r="F911" s="99" t="s">
        <v>5141</v>
      </c>
      <c r="G911" s="101" t="s">
        <v>5142</v>
      </c>
    </row>
    <row r="912">
      <c r="A912" s="97" t="s">
        <v>5108</v>
      </c>
      <c r="B912" s="97" t="s">
        <v>5143</v>
      </c>
      <c r="C912" s="97" t="s">
        <v>5144</v>
      </c>
      <c r="D912" s="97" t="s">
        <v>5145</v>
      </c>
      <c r="E912" s="97" t="s">
        <v>5146</v>
      </c>
      <c r="F912" s="97" t="s">
        <v>5147</v>
      </c>
      <c r="G912" s="98" t="s">
        <v>5148</v>
      </c>
    </row>
    <row r="913">
      <c r="A913" s="99" t="s">
        <v>5108</v>
      </c>
      <c r="B913" s="99" t="s">
        <v>5149</v>
      </c>
      <c r="C913" s="99" t="s">
        <v>5150</v>
      </c>
      <c r="D913" s="99" t="s">
        <v>5151</v>
      </c>
      <c r="E913" s="99" t="s">
        <v>5152</v>
      </c>
      <c r="F913" s="100"/>
      <c r="G913" s="101" t="s">
        <v>5153</v>
      </c>
    </row>
    <row r="914">
      <c r="A914" s="97" t="s">
        <v>5108</v>
      </c>
      <c r="B914" s="97" t="s">
        <v>5154</v>
      </c>
      <c r="C914" s="97" t="s">
        <v>5155</v>
      </c>
      <c r="D914" s="97" t="s">
        <v>5156</v>
      </c>
      <c r="E914" s="97" t="s">
        <v>5157</v>
      </c>
      <c r="F914" s="97" t="s">
        <v>5158</v>
      </c>
      <c r="G914" s="98" t="s">
        <v>5159</v>
      </c>
    </row>
    <row r="915">
      <c r="A915" s="213" t="s">
        <v>5160</v>
      </c>
      <c r="B915" s="213" t="s">
        <v>105</v>
      </c>
      <c r="C915" s="213" t="s">
        <v>5161</v>
      </c>
      <c r="D915" s="214" t="s">
        <v>5162</v>
      </c>
      <c r="E915" s="213" t="s">
        <v>5163</v>
      </c>
      <c r="F915" s="214" t="s">
        <v>5164</v>
      </c>
      <c r="G915" s="215" t="s">
        <v>5165</v>
      </c>
    </row>
    <row r="916">
      <c r="A916" s="216" t="s">
        <v>5160</v>
      </c>
      <c r="B916" s="216" t="s">
        <v>5166</v>
      </c>
      <c r="C916" s="216" t="s">
        <v>5167</v>
      </c>
      <c r="D916" s="217" t="s">
        <v>5168</v>
      </c>
      <c r="E916" s="216" t="s">
        <v>5169</v>
      </c>
      <c r="F916" s="217" t="s">
        <v>5170</v>
      </c>
      <c r="G916" s="218" t="s">
        <v>5171</v>
      </c>
    </row>
    <row r="917">
      <c r="A917" s="213" t="s">
        <v>5160</v>
      </c>
      <c r="B917" s="213" t="s">
        <v>5172</v>
      </c>
      <c r="C917" s="213" t="s">
        <v>5173</v>
      </c>
      <c r="D917" s="219"/>
      <c r="E917" s="213" t="s">
        <v>5174</v>
      </c>
      <c r="F917" s="214" t="s">
        <v>5175</v>
      </c>
      <c r="G917" s="215" t="s">
        <v>5176</v>
      </c>
    </row>
    <row r="918">
      <c r="A918" s="216" t="s">
        <v>5160</v>
      </c>
      <c r="B918" s="216" t="s">
        <v>5177</v>
      </c>
      <c r="C918" s="216" t="s">
        <v>5178</v>
      </c>
      <c r="D918" s="220"/>
      <c r="E918" s="216" t="s">
        <v>5179</v>
      </c>
      <c r="F918" s="220"/>
      <c r="G918" s="218" t="s">
        <v>5180</v>
      </c>
    </row>
    <row r="919">
      <c r="A919" s="213" t="s">
        <v>5160</v>
      </c>
      <c r="B919" s="213" t="s">
        <v>5181</v>
      </c>
      <c r="C919" s="213" t="s">
        <v>5182</v>
      </c>
      <c r="D919" s="214" t="s">
        <v>5183</v>
      </c>
      <c r="E919" s="213" t="s">
        <v>5184</v>
      </c>
      <c r="F919" s="214" t="s">
        <v>5185</v>
      </c>
      <c r="G919" s="215" t="s">
        <v>5186</v>
      </c>
    </row>
    <row r="920">
      <c r="A920" s="216" t="s">
        <v>5160</v>
      </c>
      <c r="B920" s="216" t="s">
        <v>5187</v>
      </c>
      <c r="C920" s="216" t="s">
        <v>5188</v>
      </c>
      <c r="D920" s="220"/>
      <c r="E920" s="216" t="s">
        <v>5189</v>
      </c>
      <c r="F920" s="220"/>
      <c r="G920" s="218" t="s">
        <v>5190</v>
      </c>
    </row>
    <row r="921">
      <c r="A921" s="221" t="s">
        <v>5191</v>
      </c>
      <c r="B921" s="221" t="s">
        <v>5192</v>
      </c>
      <c r="C921" s="221" t="s">
        <v>5193</v>
      </c>
      <c r="D921" s="221" t="s">
        <v>5194</v>
      </c>
      <c r="E921" s="222" t="str">
        <f>+90 486 216 1205</f>
        <v>#ERROR!</v>
      </c>
      <c r="F921" s="221" t="s">
        <v>5195</v>
      </c>
      <c r="G921" s="223" t="s">
        <v>5196</v>
      </c>
    </row>
    <row r="922">
      <c r="A922" s="224" t="s">
        <v>5191</v>
      </c>
      <c r="B922" s="224" t="s">
        <v>5197</v>
      </c>
      <c r="C922" s="224" t="s">
        <v>5198</v>
      </c>
      <c r="D922" s="224" t="s">
        <v>5199</v>
      </c>
      <c r="E922" s="224" t="s">
        <v>5200</v>
      </c>
      <c r="F922" s="224" t="s">
        <v>5201</v>
      </c>
      <c r="G922" s="225" t="s">
        <v>5202</v>
      </c>
    </row>
    <row r="923">
      <c r="A923" s="221" t="s">
        <v>5191</v>
      </c>
      <c r="B923" s="221" t="s">
        <v>5203</v>
      </c>
      <c r="C923" s="221" t="s">
        <v>5204</v>
      </c>
      <c r="D923" s="221" t="s">
        <v>5205</v>
      </c>
      <c r="E923" s="221" t="s">
        <v>5206</v>
      </c>
      <c r="F923" s="221" t="s">
        <v>5207</v>
      </c>
      <c r="G923" s="223" t="s">
        <v>5208</v>
      </c>
    </row>
    <row r="924">
      <c r="A924" s="224" t="s">
        <v>5191</v>
      </c>
      <c r="B924" s="224" t="s">
        <v>5209</v>
      </c>
      <c r="C924" s="224" t="s">
        <v>5210</v>
      </c>
      <c r="D924" s="224" t="s">
        <v>5211</v>
      </c>
      <c r="E924" s="224" t="s">
        <v>5212</v>
      </c>
      <c r="F924" s="224" t="s">
        <v>5213</v>
      </c>
      <c r="G924" s="225" t="s">
        <v>5214</v>
      </c>
    </row>
    <row r="925">
      <c r="A925" s="221" t="s">
        <v>5191</v>
      </c>
      <c r="B925" s="221" t="s">
        <v>5215</v>
      </c>
      <c r="C925" s="221" t="s">
        <v>5216</v>
      </c>
      <c r="D925" s="221" t="s">
        <v>5217</v>
      </c>
      <c r="E925" s="221" t="s">
        <v>5218</v>
      </c>
      <c r="F925" s="221" t="s">
        <v>5219</v>
      </c>
      <c r="G925" s="223" t="s">
        <v>5220</v>
      </c>
    </row>
    <row r="926">
      <c r="A926" s="224" t="s">
        <v>5191</v>
      </c>
      <c r="B926" s="224" t="s">
        <v>5221</v>
      </c>
      <c r="C926" s="224" t="s">
        <v>5222</v>
      </c>
      <c r="D926" s="226"/>
      <c r="E926" s="226"/>
      <c r="F926" s="226"/>
      <c r="G926" s="225" t="s">
        <v>5223</v>
      </c>
    </row>
    <row r="927">
      <c r="A927" s="221" t="s">
        <v>5191</v>
      </c>
      <c r="B927" s="221" t="s">
        <v>5224</v>
      </c>
      <c r="C927" s="221" t="s">
        <v>5225</v>
      </c>
      <c r="D927" s="221" t="s">
        <v>5226</v>
      </c>
      <c r="E927" s="221" t="s">
        <v>5227</v>
      </c>
      <c r="F927" s="222"/>
      <c r="G927" s="223" t="s">
        <v>5228</v>
      </c>
    </row>
    <row r="928">
      <c r="A928" s="93" t="s">
        <v>5229</v>
      </c>
      <c r="B928" s="93" t="s">
        <v>105</v>
      </c>
      <c r="C928" s="93" t="s">
        <v>5230</v>
      </c>
      <c r="D928" s="93" t="s">
        <v>5231</v>
      </c>
      <c r="E928" s="93" t="s">
        <v>5232</v>
      </c>
      <c r="F928" s="93" t="s">
        <v>5233</v>
      </c>
      <c r="G928" s="94" t="s">
        <v>5234</v>
      </c>
    </row>
    <row r="929">
      <c r="A929" s="74" t="s">
        <v>5229</v>
      </c>
      <c r="B929" s="74" t="s">
        <v>5235</v>
      </c>
      <c r="C929" s="74" t="s">
        <v>5236</v>
      </c>
      <c r="D929" s="74" t="s">
        <v>5237</v>
      </c>
      <c r="E929" s="77" t="str">
        <f>+90 (378) 315 10 81</f>
        <v>#ERROR!</v>
      </c>
      <c r="F929" s="77"/>
      <c r="G929" s="75" t="s">
        <v>5238</v>
      </c>
    </row>
    <row r="930">
      <c r="A930" s="93" t="s">
        <v>5229</v>
      </c>
      <c r="B930" s="93" t="s">
        <v>5239</v>
      </c>
      <c r="C930" s="93" t="s">
        <v>5240</v>
      </c>
      <c r="D930" s="93" t="s">
        <v>5241</v>
      </c>
      <c r="E930" s="93" t="s">
        <v>5242</v>
      </c>
      <c r="F930" s="93" t="s">
        <v>5243</v>
      </c>
      <c r="G930" s="94" t="s">
        <v>5244</v>
      </c>
    </row>
    <row r="931">
      <c r="A931" s="74" t="s">
        <v>5229</v>
      </c>
      <c r="B931" s="74" t="s">
        <v>5245</v>
      </c>
      <c r="C931" s="74" t="s">
        <v>5246</v>
      </c>
      <c r="D931" s="74" t="s">
        <v>5247</v>
      </c>
      <c r="E931" s="74" t="s">
        <v>5248</v>
      </c>
      <c r="F931" s="74" t="s">
        <v>5249</v>
      </c>
      <c r="G931" s="75" t="s">
        <v>5250</v>
      </c>
    </row>
    <row r="932">
      <c r="A932" s="227" t="s">
        <v>5251</v>
      </c>
      <c r="B932" s="227" t="s">
        <v>105</v>
      </c>
      <c r="C932" s="227" t="s">
        <v>5252</v>
      </c>
      <c r="D932" s="227" t="s">
        <v>5253</v>
      </c>
      <c r="E932" s="227" t="s">
        <v>5254</v>
      </c>
      <c r="F932" s="227" t="s">
        <v>5255</v>
      </c>
      <c r="G932" s="228" t="s">
        <v>5256</v>
      </c>
    </row>
    <row r="933">
      <c r="A933" s="27" t="s">
        <v>5251</v>
      </c>
      <c r="B933" s="27" t="s">
        <v>5257</v>
      </c>
      <c r="C933" s="27" t="s">
        <v>5258</v>
      </c>
      <c r="D933" s="27" t="s">
        <v>5259</v>
      </c>
      <c r="E933" s="27" t="s">
        <v>5260</v>
      </c>
      <c r="F933" s="27" t="s">
        <v>5261</v>
      </c>
      <c r="G933" s="28" t="s">
        <v>5262</v>
      </c>
    </row>
    <row r="934">
      <c r="A934" s="227" t="s">
        <v>5251</v>
      </c>
      <c r="B934" s="227" t="s">
        <v>5263</v>
      </c>
      <c r="C934" s="227" t="s">
        <v>5264</v>
      </c>
      <c r="D934" s="227" t="s">
        <v>5265</v>
      </c>
      <c r="E934" s="227" t="s">
        <v>5266</v>
      </c>
      <c r="F934" s="227" t="s">
        <v>5267</v>
      </c>
      <c r="G934" s="228" t="s">
        <v>5268</v>
      </c>
    </row>
    <row r="935">
      <c r="A935" s="27" t="s">
        <v>5251</v>
      </c>
      <c r="B935" s="27" t="s">
        <v>5269</v>
      </c>
      <c r="C935" s="27" t="s">
        <v>5270</v>
      </c>
      <c r="D935" s="27" t="s">
        <v>5271</v>
      </c>
      <c r="E935" s="27" t="s">
        <v>5272</v>
      </c>
      <c r="F935" s="27" t="s">
        <v>5273</v>
      </c>
      <c r="G935" s="28" t="s">
        <v>5274</v>
      </c>
    </row>
    <row r="936">
      <c r="A936" s="227" t="s">
        <v>5251</v>
      </c>
      <c r="B936" s="227" t="s">
        <v>5275</v>
      </c>
      <c r="C936" s="227" t="s">
        <v>5276</v>
      </c>
      <c r="D936" s="227" t="s">
        <v>5277</v>
      </c>
      <c r="E936" s="227" t="s">
        <v>5278</v>
      </c>
      <c r="F936" s="227" t="s">
        <v>5279</v>
      </c>
      <c r="G936" s="228" t="s">
        <v>5280</v>
      </c>
    </row>
    <row r="937">
      <c r="A937" s="27" t="s">
        <v>5251</v>
      </c>
      <c r="B937" s="27" t="s">
        <v>5281</v>
      </c>
      <c r="C937" s="27" t="s">
        <v>5282</v>
      </c>
      <c r="D937" s="27" t="s">
        <v>5283</v>
      </c>
      <c r="E937" s="27" t="s">
        <v>5284</v>
      </c>
      <c r="F937" s="27" t="s">
        <v>5285</v>
      </c>
      <c r="G937" s="28" t="s">
        <v>5286</v>
      </c>
    </row>
    <row r="938">
      <c r="A938" s="93" t="s">
        <v>5287</v>
      </c>
      <c r="B938" s="93" t="s">
        <v>105</v>
      </c>
      <c r="C938" s="93" t="s">
        <v>5288</v>
      </c>
      <c r="D938" s="93" t="s">
        <v>5289</v>
      </c>
      <c r="E938" s="93" t="s">
        <v>5290</v>
      </c>
      <c r="F938" s="93" t="s">
        <v>5291</v>
      </c>
      <c r="G938" s="94" t="s">
        <v>5292</v>
      </c>
    </row>
    <row r="939">
      <c r="A939" s="74" t="s">
        <v>5287</v>
      </c>
      <c r="B939" s="74" t="s">
        <v>5293</v>
      </c>
      <c r="C939" s="74" t="s">
        <v>5294</v>
      </c>
      <c r="D939" s="74" t="s">
        <v>5295</v>
      </c>
      <c r="E939" s="74" t="s">
        <v>5296</v>
      </c>
      <c r="F939" s="74" t="s">
        <v>5297</v>
      </c>
      <c r="G939" s="75" t="s">
        <v>5298</v>
      </c>
    </row>
    <row r="940">
      <c r="A940" s="93" t="s">
        <v>5287</v>
      </c>
      <c r="B940" s="93" t="s">
        <v>5299</v>
      </c>
      <c r="C940" s="93" t="s">
        <v>5300</v>
      </c>
      <c r="D940" s="93" t="s">
        <v>5301</v>
      </c>
      <c r="E940" s="93" t="s">
        <v>5302</v>
      </c>
      <c r="F940" s="229"/>
      <c r="G940" s="94" t="s">
        <v>5303</v>
      </c>
    </row>
    <row r="941">
      <c r="A941" s="74" t="s">
        <v>5287</v>
      </c>
      <c r="B941" s="74" t="s">
        <v>5304</v>
      </c>
      <c r="C941" s="74" t="s">
        <v>5305</v>
      </c>
      <c r="D941" s="74" t="s">
        <v>5306</v>
      </c>
      <c r="E941" s="74" t="s">
        <v>5307</v>
      </c>
      <c r="F941" s="74" t="s">
        <v>5308</v>
      </c>
      <c r="G941" s="75" t="s">
        <v>5309</v>
      </c>
    </row>
    <row r="942">
      <c r="A942" s="72" t="s">
        <v>5310</v>
      </c>
      <c r="B942" s="72" t="s">
        <v>5311</v>
      </c>
      <c r="C942" s="72" t="s">
        <v>5312</v>
      </c>
      <c r="D942" s="72" t="s">
        <v>5313</v>
      </c>
      <c r="E942" s="72" t="s">
        <v>5314</v>
      </c>
      <c r="F942" s="76"/>
      <c r="G942" s="73" t="s">
        <v>5315</v>
      </c>
    </row>
    <row r="943">
      <c r="A943" s="74" t="s">
        <v>5310</v>
      </c>
      <c r="B943" s="74" t="s">
        <v>5316</v>
      </c>
      <c r="C943" s="74" t="s">
        <v>5317</v>
      </c>
      <c r="D943" s="74" t="s">
        <v>5318</v>
      </c>
      <c r="E943" s="74" t="s">
        <v>5319</v>
      </c>
      <c r="F943" s="74" t="s">
        <v>5320</v>
      </c>
      <c r="G943" s="75" t="s">
        <v>5321</v>
      </c>
    </row>
    <row r="944">
      <c r="A944" s="72" t="s">
        <v>5310</v>
      </c>
      <c r="B944" s="72" t="s">
        <v>5322</v>
      </c>
      <c r="C944" s="72" t="s">
        <v>1536</v>
      </c>
      <c r="D944" s="72" t="s">
        <v>5323</v>
      </c>
      <c r="E944" s="72" t="s">
        <v>5324</v>
      </c>
      <c r="F944" s="72" t="s">
        <v>5325</v>
      </c>
      <c r="G944" s="73" t="s">
        <v>5326</v>
      </c>
    </row>
    <row r="945">
      <c r="A945" s="74" t="s">
        <v>5310</v>
      </c>
      <c r="B945" s="74" t="s">
        <v>5327</v>
      </c>
      <c r="C945" s="74" t="s">
        <v>5328</v>
      </c>
      <c r="D945" s="74" t="s">
        <v>5329</v>
      </c>
      <c r="E945" s="74" t="s">
        <v>5330</v>
      </c>
      <c r="F945" s="74" t="s">
        <v>5331</v>
      </c>
      <c r="G945" s="75" t="s">
        <v>5332</v>
      </c>
    </row>
    <row r="946">
      <c r="A946" s="72" t="s">
        <v>5310</v>
      </c>
      <c r="B946" s="72" t="s">
        <v>5333</v>
      </c>
      <c r="C946" s="72" t="s">
        <v>5334</v>
      </c>
      <c r="D946" s="72" t="s">
        <v>5335</v>
      </c>
      <c r="E946" s="72" t="s">
        <v>5336</v>
      </c>
      <c r="F946" s="72" t="s">
        <v>5337</v>
      </c>
      <c r="G946" s="73" t="s">
        <v>5338</v>
      </c>
    </row>
    <row r="947">
      <c r="A947" s="74" t="s">
        <v>5310</v>
      </c>
      <c r="B947" s="74" t="s">
        <v>5339</v>
      </c>
      <c r="C947" s="74" t="s">
        <v>5340</v>
      </c>
      <c r="D947" s="74" t="s">
        <v>5341</v>
      </c>
      <c r="E947" s="74" t="s">
        <v>5342</v>
      </c>
      <c r="F947" s="74" t="s">
        <v>5343</v>
      </c>
      <c r="G947" s="75" t="s">
        <v>5344</v>
      </c>
    </row>
    <row r="948">
      <c r="A948" s="230" t="s">
        <v>5345</v>
      </c>
      <c r="B948" s="230" t="s">
        <v>105</v>
      </c>
      <c r="C948" s="181" t="s">
        <v>5346</v>
      </c>
      <c r="D948" s="181" t="s">
        <v>5347</v>
      </c>
      <c r="E948" s="230" t="s">
        <v>5348</v>
      </c>
      <c r="F948" s="230" t="s">
        <v>5349</v>
      </c>
      <c r="G948" s="231" t="s">
        <v>5350</v>
      </c>
    </row>
    <row r="949">
      <c r="A949" s="34" t="s">
        <v>5345</v>
      </c>
      <c r="B949" s="34" t="s">
        <v>5351</v>
      </c>
      <c r="C949" s="21" t="s">
        <v>5352</v>
      </c>
      <c r="D949" s="232"/>
      <c r="E949" s="34" t="s">
        <v>5353</v>
      </c>
      <c r="F949" s="34" t="s">
        <v>5354</v>
      </c>
      <c r="G949" s="107" t="s">
        <v>5355</v>
      </c>
    </row>
    <row r="950">
      <c r="A950" s="230" t="s">
        <v>5345</v>
      </c>
      <c r="B950" s="230" t="s">
        <v>5356</v>
      </c>
      <c r="C950" s="181" t="s">
        <v>5357</v>
      </c>
      <c r="D950" s="181" t="s">
        <v>5358</v>
      </c>
      <c r="E950" s="230" t="s">
        <v>5359</v>
      </c>
      <c r="F950" s="233"/>
      <c r="G950" s="231" t="s">
        <v>5360</v>
      </c>
    </row>
    <row r="951">
      <c r="A951" s="34" t="s">
        <v>5345</v>
      </c>
      <c r="B951" s="34" t="s">
        <v>4763</v>
      </c>
      <c r="C951" s="21" t="s">
        <v>5361</v>
      </c>
      <c r="D951" s="21" t="s">
        <v>5362</v>
      </c>
      <c r="E951" s="34" t="s">
        <v>5363</v>
      </c>
      <c r="F951" s="34" t="s">
        <v>5364</v>
      </c>
      <c r="G951" s="107" t="s">
        <v>5365</v>
      </c>
    </row>
    <row r="952">
      <c r="A952" s="230" t="s">
        <v>5345</v>
      </c>
      <c r="B952" s="230" t="s">
        <v>5366</v>
      </c>
      <c r="C952" s="181" t="s">
        <v>5367</v>
      </c>
      <c r="D952" s="181" t="s">
        <v>5368</v>
      </c>
      <c r="E952" s="230" t="s">
        <v>5369</v>
      </c>
      <c r="F952" s="230" t="s">
        <v>5370</v>
      </c>
      <c r="G952" s="231" t="s">
        <v>5371</v>
      </c>
    </row>
    <row r="953">
      <c r="A953" s="34" t="s">
        <v>5345</v>
      </c>
      <c r="B953" s="34" t="s">
        <v>1323</v>
      </c>
      <c r="C953" s="21" t="s">
        <v>5372</v>
      </c>
      <c r="D953" s="21" t="s">
        <v>5373</v>
      </c>
      <c r="E953" s="34" t="s">
        <v>5374</v>
      </c>
      <c r="F953" s="34" t="s">
        <v>5375</v>
      </c>
      <c r="G953" s="107" t="s">
        <v>5376</v>
      </c>
    </row>
    <row r="954">
      <c r="A954" s="181" t="s">
        <v>5377</v>
      </c>
      <c r="B954" s="181" t="s">
        <v>105</v>
      </c>
      <c r="C954" s="181" t="s">
        <v>5378</v>
      </c>
      <c r="D954" s="181" t="s">
        <v>5379</v>
      </c>
      <c r="E954" s="234" t="str">
        <f>+90 348 813 1010</f>
        <v>#ERROR!</v>
      </c>
      <c r="F954" s="234"/>
      <c r="G954" s="182" t="s">
        <v>5380</v>
      </c>
    </row>
    <row r="955">
      <c r="A955" s="21" t="s">
        <v>5377</v>
      </c>
      <c r="B955" s="21" t="s">
        <v>5381</v>
      </c>
      <c r="C955" s="21" t="s">
        <v>5382</v>
      </c>
      <c r="D955" s="21" t="s">
        <v>5383</v>
      </c>
      <c r="E955" s="21" t="s">
        <v>5384</v>
      </c>
      <c r="F955" s="232"/>
      <c r="G955" s="22" t="s">
        <v>5385</v>
      </c>
    </row>
    <row r="956">
      <c r="A956" s="181" t="s">
        <v>5377</v>
      </c>
      <c r="B956" s="181" t="s">
        <v>5386</v>
      </c>
      <c r="C956" s="181" t="s">
        <v>5387</v>
      </c>
      <c r="D956" s="181" t="s">
        <v>5388</v>
      </c>
      <c r="E956" s="234" t="str">
        <f>+90 348 746 21 20</f>
        <v>#ERROR!</v>
      </c>
      <c r="F956" s="181" t="s">
        <v>5389</v>
      </c>
      <c r="G956" s="182" t="s">
        <v>5390</v>
      </c>
    </row>
    <row r="957">
      <c r="A957" s="21" t="s">
        <v>5377</v>
      </c>
      <c r="B957" s="21" t="s">
        <v>5391</v>
      </c>
      <c r="C957" s="21" t="s">
        <v>880</v>
      </c>
      <c r="D957" s="21" t="s">
        <v>5392</v>
      </c>
      <c r="E957" s="21" t="s">
        <v>5393</v>
      </c>
      <c r="F957" s="21" t="s">
        <v>5394</v>
      </c>
      <c r="G957" s="22" t="s">
        <v>5395</v>
      </c>
    </row>
    <row r="958">
      <c r="A958" s="235" t="s">
        <v>5396</v>
      </c>
      <c r="B958" s="235" t="s">
        <v>105</v>
      </c>
      <c r="C958" s="235" t="s">
        <v>5397</v>
      </c>
      <c r="D958" s="235" t="s">
        <v>5398</v>
      </c>
      <c r="E958" s="235" t="s">
        <v>5399</v>
      </c>
      <c r="F958" s="235" t="s">
        <v>5400</v>
      </c>
      <c r="G958" s="236" t="s">
        <v>5401</v>
      </c>
    </row>
    <row r="959">
      <c r="A959" s="27" t="s">
        <v>5396</v>
      </c>
      <c r="B959" s="27" t="s">
        <v>5402</v>
      </c>
      <c r="C959" s="27" t="s">
        <v>5403</v>
      </c>
      <c r="D959" s="27" t="s">
        <v>5404</v>
      </c>
      <c r="E959" s="27" t="s">
        <v>5405</v>
      </c>
      <c r="F959" s="27" t="s">
        <v>5406</v>
      </c>
      <c r="G959" s="28" t="s">
        <v>5407</v>
      </c>
    </row>
    <row r="960">
      <c r="A960" s="235" t="s">
        <v>5396</v>
      </c>
      <c r="B960" s="235" t="s">
        <v>5408</v>
      </c>
      <c r="C960" s="235" t="s">
        <v>5409</v>
      </c>
      <c r="D960" s="235" t="s">
        <v>5410</v>
      </c>
      <c r="E960" s="235" t="s">
        <v>5411</v>
      </c>
      <c r="F960" s="235" t="s">
        <v>5412</v>
      </c>
      <c r="G960" s="236" t="s">
        <v>5413</v>
      </c>
    </row>
    <row r="961">
      <c r="A961" s="27" t="s">
        <v>5396</v>
      </c>
      <c r="B961" s="27" t="s">
        <v>5414</v>
      </c>
      <c r="C961" s="27" t="s">
        <v>5415</v>
      </c>
      <c r="D961" s="27" t="s">
        <v>5416</v>
      </c>
      <c r="E961" s="237"/>
      <c r="F961" s="237"/>
      <c r="G961" s="28" t="s">
        <v>5417</v>
      </c>
    </row>
    <row r="962">
      <c r="A962" s="235" t="s">
        <v>5396</v>
      </c>
      <c r="B962" s="235" t="s">
        <v>5418</v>
      </c>
      <c r="C962" s="235" t="s">
        <v>5419</v>
      </c>
      <c r="D962" s="235" t="s">
        <v>5420</v>
      </c>
      <c r="E962" s="235" t="s">
        <v>5421</v>
      </c>
      <c r="F962" s="235" t="s">
        <v>5422</v>
      </c>
      <c r="G962" s="236" t="s">
        <v>5423</v>
      </c>
    </row>
    <row r="963">
      <c r="A963" s="27" t="s">
        <v>5396</v>
      </c>
      <c r="B963" s="27" t="s">
        <v>5424</v>
      </c>
      <c r="C963" s="27" t="s">
        <v>5425</v>
      </c>
      <c r="D963" s="27" t="s">
        <v>5426</v>
      </c>
      <c r="E963" s="27" t="s">
        <v>5427</v>
      </c>
      <c r="F963" s="27" t="s">
        <v>5428</v>
      </c>
      <c r="G963" s="28" t="s">
        <v>5429</v>
      </c>
    </row>
    <row r="964">
      <c r="A964" s="235" t="s">
        <v>5396</v>
      </c>
      <c r="B964" s="235" t="s">
        <v>5430</v>
      </c>
      <c r="C964" s="235" t="s">
        <v>5431</v>
      </c>
      <c r="D964" s="235" t="s">
        <v>5432</v>
      </c>
      <c r="E964" s="235" t="s">
        <v>5433</v>
      </c>
      <c r="F964" s="235" t="s">
        <v>5434</v>
      </c>
      <c r="G964" s="236" t="s">
        <v>5435</v>
      </c>
    </row>
    <row r="965">
      <c r="A965" s="138" t="s">
        <v>5436</v>
      </c>
      <c r="B965" s="138" t="s">
        <v>5437</v>
      </c>
      <c r="C965" s="138" t="s">
        <v>5438</v>
      </c>
      <c r="D965" s="138" t="s">
        <v>5439</v>
      </c>
      <c r="E965" s="138" t="s">
        <v>5440</v>
      </c>
      <c r="F965" s="138" t="s">
        <v>5441</v>
      </c>
      <c r="G965" s="140" t="s">
        <v>5442</v>
      </c>
    </row>
    <row r="966">
      <c r="A966" s="42" t="s">
        <v>5436</v>
      </c>
      <c r="B966" s="42" t="s">
        <v>5443</v>
      </c>
      <c r="C966" s="42" t="s">
        <v>5444</v>
      </c>
      <c r="D966" s="42" t="s">
        <v>5445</v>
      </c>
      <c r="E966" s="238" t="str">
        <f>+90 380 611 41 10</f>
        <v>#ERROR!</v>
      </c>
      <c r="F966" s="42" t="s">
        <v>5446</v>
      </c>
      <c r="G966" s="43" t="s">
        <v>5447</v>
      </c>
    </row>
    <row r="967">
      <c r="A967" s="138" t="s">
        <v>5436</v>
      </c>
      <c r="B967" s="138" t="s">
        <v>5448</v>
      </c>
      <c r="C967" s="138" t="s">
        <v>5449</v>
      </c>
      <c r="D967" s="138" t="s">
        <v>5450</v>
      </c>
      <c r="E967" s="239" t="str">
        <f>+90 380 735 40 09</f>
        <v>#ERROR!</v>
      </c>
      <c r="F967" s="138" t="s">
        <v>5451</v>
      </c>
      <c r="G967" s="140" t="s">
        <v>5452</v>
      </c>
    </row>
    <row r="968">
      <c r="A968" s="42" t="s">
        <v>5436</v>
      </c>
      <c r="B968" s="42" t="s">
        <v>5453</v>
      </c>
      <c r="C968" s="42" t="s">
        <v>5454</v>
      </c>
      <c r="D968" s="42" t="s">
        <v>5455</v>
      </c>
      <c r="E968" s="238" t="str">
        <f>+90 380 681 50 04</f>
        <v>#ERROR!</v>
      </c>
      <c r="F968" s="42" t="s">
        <v>5456</v>
      </c>
      <c r="G968" s="43" t="s">
        <v>5457</v>
      </c>
    </row>
    <row r="969">
      <c r="A969" s="138" t="s">
        <v>5436</v>
      </c>
      <c r="B969" s="138" t="s">
        <v>5458</v>
      </c>
      <c r="C969" s="138" t="s">
        <v>5459</v>
      </c>
      <c r="D969" s="138" t="s">
        <v>5460</v>
      </c>
      <c r="E969" s="138" t="s">
        <v>5461</v>
      </c>
      <c r="F969" s="138" t="s">
        <v>5462</v>
      </c>
      <c r="G969" s="140" t="s">
        <v>5463</v>
      </c>
    </row>
    <row r="970">
      <c r="A970" s="42" t="s">
        <v>5436</v>
      </c>
      <c r="B970" s="42" t="s">
        <v>5464</v>
      </c>
      <c r="C970" s="42" t="s">
        <v>5465</v>
      </c>
      <c r="D970" s="238"/>
      <c r="E970" s="42" t="s">
        <v>5466</v>
      </c>
      <c r="F970" s="42" t="s">
        <v>5467</v>
      </c>
      <c r="G970" s="43" t="s">
        <v>5468</v>
      </c>
    </row>
    <row r="971">
      <c r="A971" s="138" t="s">
        <v>5436</v>
      </c>
      <c r="B971" s="138" t="s">
        <v>5469</v>
      </c>
      <c r="C971" s="138" t="s">
        <v>5470</v>
      </c>
      <c r="D971" s="138" t="s">
        <v>5471</v>
      </c>
      <c r="E971" s="239" t="str">
        <f>+90 380 544 20 10</f>
        <v>#ERROR!</v>
      </c>
      <c r="F971" s="138" t="s">
        <v>5472</v>
      </c>
      <c r="G971" s="140" t="s">
        <v>5473</v>
      </c>
    </row>
    <row r="972">
      <c r="A972" s="42" t="s">
        <v>5436</v>
      </c>
      <c r="B972" s="42" t="s">
        <v>5474</v>
      </c>
      <c r="C972" s="42" t="s">
        <v>5475</v>
      </c>
      <c r="D972" s="42" t="s">
        <v>5476</v>
      </c>
      <c r="E972" s="238"/>
      <c r="F972" s="238"/>
      <c r="G972" s="43" t="s">
        <v>5477</v>
      </c>
    </row>
    <row r="984">
      <c r="A984" s="65"/>
      <c r="B984" s="65"/>
      <c r="C984" s="65"/>
      <c r="D984" s="65"/>
      <c r="E984" s="65"/>
      <c r="F984" s="65"/>
      <c r="G984" s="65"/>
    </row>
    <row r="985">
      <c r="A985" s="65"/>
      <c r="B985" s="65"/>
      <c r="C985" s="65"/>
      <c r="D985" s="65"/>
      <c r="E985" s="65"/>
      <c r="F985" s="65"/>
      <c r="G985" s="65"/>
    </row>
    <row r="986">
      <c r="A986" s="65"/>
      <c r="B986" s="65"/>
      <c r="C986" s="65"/>
      <c r="D986" s="65"/>
      <c r="E986" s="65"/>
      <c r="F986" s="65"/>
      <c r="G986" s="65"/>
    </row>
    <row r="987">
      <c r="A987" s="65"/>
      <c r="B987" s="65"/>
      <c r="C987" s="65"/>
      <c r="D987" s="65"/>
      <c r="E987" s="65"/>
      <c r="F987" s="65"/>
      <c r="G987" s="65"/>
    </row>
    <row r="988">
      <c r="A988" s="65"/>
      <c r="B988" s="65"/>
      <c r="C988" s="65"/>
      <c r="D988" s="65"/>
      <c r="E988" s="65"/>
      <c r="F988" s="65"/>
      <c r="G988" s="65"/>
    </row>
    <row r="989">
      <c r="A989" s="65"/>
      <c r="B989" s="65"/>
      <c r="C989" s="65"/>
      <c r="D989" s="65"/>
      <c r="E989" s="65"/>
      <c r="F989" s="65"/>
      <c r="G989" s="65"/>
    </row>
    <row r="990">
      <c r="A990" s="65"/>
      <c r="B990" s="65"/>
      <c r="C990" s="65"/>
      <c r="D990" s="65"/>
      <c r="E990" s="65"/>
      <c r="F990" s="65"/>
      <c r="G990" s="65"/>
    </row>
    <row r="991">
      <c r="A991" s="65"/>
      <c r="B991" s="65"/>
      <c r="C991" s="65"/>
      <c r="D991" s="65"/>
      <c r="E991" s="65"/>
      <c r="F991" s="65"/>
      <c r="G991" s="65"/>
    </row>
    <row r="992">
      <c r="A992" s="65"/>
      <c r="B992" s="65"/>
      <c r="C992" s="65"/>
      <c r="D992" s="65"/>
      <c r="E992" s="65"/>
      <c r="F992" s="65"/>
      <c r="G992" s="65"/>
    </row>
    <row r="993">
      <c r="A993" s="65"/>
      <c r="B993" s="65"/>
      <c r="C993" s="65"/>
      <c r="D993" s="65"/>
      <c r="E993" s="65"/>
      <c r="F993" s="65"/>
      <c r="G993" s="65"/>
    </row>
    <row r="994">
      <c r="A994" s="65"/>
      <c r="B994" s="65"/>
      <c r="C994" s="65"/>
      <c r="D994" s="65"/>
      <c r="E994" s="65"/>
      <c r="F994" s="65"/>
      <c r="G994" s="65"/>
    </row>
    <row r="995">
      <c r="A995" s="65"/>
      <c r="B995" s="65"/>
      <c r="C995" s="65"/>
      <c r="D995" s="65"/>
      <c r="E995" s="65"/>
      <c r="F995" s="65"/>
      <c r="G995" s="65"/>
    </row>
    <row r="996">
      <c r="A996" s="65"/>
      <c r="B996" s="65"/>
      <c r="C996" s="65"/>
      <c r="D996" s="65"/>
      <c r="E996" s="65"/>
      <c r="F996" s="65"/>
      <c r="G996" s="65"/>
    </row>
    <row r="997">
      <c r="A997" s="65"/>
      <c r="B997" s="65"/>
      <c r="C997" s="65"/>
      <c r="D997" s="65"/>
      <c r="E997" s="65"/>
      <c r="F997" s="65"/>
      <c r="G997" s="65"/>
    </row>
    <row r="998">
      <c r="A998" s="65"/>
      <c r="B998" s="65"/>
      <c r="C998" s="65"/>
      <c r="D998" s="65"/>
      <c r="E998" s="65"/>
      <c r="F998" s="65"/>
      <c r="G998" s="65"/>
    </row>
    <row r="999">
      <c r="A999" s="65"/>
      <c r="B999" s="65"/>
      <c r="C999" s="65"/>
      <c r="D999" s="65"/>
      <c r="E999" s="65"/>
      <c r="F999" s="65"/>
      <c r="G999" s="65"/>
    </row>
    <row r="1000">
      <c r="A1000" s="65"/>
      <c r="B1000" s="65"/>
      <c r="C1000" s="65"/>
      <c r="D1000" s="65"/>
      <c r="E1000" s="65"/>
      <c r="F1000" s="65"/>
      <c r="G1000" s="65"/>
    </row>
    <row r="1001">
      <c r="A1001" s="65"/>
      <c r="B1001" s="65"/>
      <c r="C1001" s="65"/>
      <c r="D1001" s="65"/>
      <c r="E1001" s="65"/>
      <c r="F1001" s="65"/>
      <c r="G1001" s="65"/>
    </row>
    <row r="1002">
      <c r="A1002" s="65"/>
      <c r="B1002" s="65"/>
      <c r="C1002" s="65"/>
      <c r="D1002" s="65"/>
      <c r="E1002" s="65"/>
      <c r="F1002" s="65"/>
      <c r="G1002" s="65"/>
    </row>
    <row r="1003">
      <c r="A1003" s="65"/>
      <c r="B1003" s="65"/>
      <c r="C1003" s="65"/>
      <c r="D1003" s="65"/>
      <c r="E1003" s="65"/>
      <c r="F1003" s="65"/>
      <c r="G1003" s="65"/>
    </row>
    <row r="1004">
      <c r="A1004" s="65"/>
      <c r="B1004" s="65"/>
      <c r="C1004" s="65"/>
      <c r="D1004" s="65"/>
      <c r="E1004" s="65"/>
      <c r="F1004" s="65"/>
      <c r="G1004" s="65"/>
    </row>
    <row r="1005">
      <c r="A1005" s="65"/>
      <c r="B1005" s="65"/>
      <c r="C1005" s="65"/>
      <c r="D1005" s="65"/>
      <c r="E1005" s="65"/>
      <c r="F1005" s="65"/>
      <c r="G1005" s="65"/>
    </row>
    <row r="1006">
      <c r="A1006" s="65"/>
      <c r="B1006" s="65"/>
      <c r="C1006" s="65"/>
      <c r="D1006" s="65"/>
      <c r="E1006" s="65"/>
      <c r="F1006" s="65"/>
      <c r="G1006" s="65"/>
    </row>
    <row r="1007">
      <c r="A1007" s="65"/>
      <c r="B1007" s="65"/>
      <c r="C1007" s="65"/>
      <c r="D1007" s="65"/>
      <c r="E1007" s="65"/>
      <c r="F1007" s="65"/>
      <c r="G1007" s="65"/>
    </row>
    <row r="1008">
      <c r="A1008" s="65"/>
      <c r="B1008" s="65"/>
      <c r="C1008" s="65"/>
      <c r="D1008" s="65"/>
      <c r="E1008" s="65"/>
      <c r="F1008" s="65"/>
      <c r="G1008" s="65"/>
    </row>
    <row r="1009">
      <c r="A1009" s="65"/>
      <c r="B1009" s="65"/>
      <c r="C1009" s="65"/>
      <c r="D1009" s="65"/>
      <c r="E1009" s="65"/>
      <c r="F1009" s="65"/>
      <c r="G1009" s="65"/>
    </row>
    <row r="1010">
      <c r="A1010" s="65"/>
      <c r="B1010" s="65"/>
      <c r="C1010" s="65"/>
      <c r="D1010" s="65"/>
      <c r="E1010" s="65"/>
      <c r="F1010" s="65"/>
      <c r="G1010" s="65"/>
    </row>
    <row r="1011">
      <c r="A1011" s="65"/>
      <c r="B1011" s="65"/>
      <c r="C1011" s="65"/>
      <c r="D1011" s="65"/>
      <c r="E1011" s="65"/>
      <c r="F1011" s="65"/>
      <c r="G1011" s="65"/>
    </row>
    <row r="1012">
      <c r="A1012" s="65"/>
      <c r="B1012" s="65"/>
      <c r="C1012" s="65"/>
      <c r="D1012" s="65"/>
      <c r="E1012" s="65"/>
      <c r="F1012" s="65"/>
      <c r="G1012" s="65"/>
    </row>
    <row r="1013">
      <c r="A1013" s="65"/>
      <c r="B1013" s="65"/>
      <c r="C1013" s="65"/>
      <c r="D1013" s="65"/>
      <c r="E1013" s="65"/>
      <c r="F1013" s="65"/>
      <c r="G1013" s="65"/>
    </row>
    <row r="1014">
      <c r="A1014" s="65"/>
      <c r="B1014" s="65"/>
      <c r="C1014" s="65"/>
      <c r="D1014" s="65"/>
      <c r="E1014" s="65"/>
      <c r="F1014" s="65"/>
      <c r="G1014" s="65"/>
    </row>
    <row r="1015">
      <c r="A1015" s="65"/>
      <c r="B1015" s="65"/>
      <c r="C1015" s="65"/>
      <c r="D1015" s="65"/>
      <c r="E1015" s="65"/>
      <c r="F1015" s="65"/>
      <c r="G1015" s="65"/>
    </row>
    <row r="1016">
      <c r="A1016" s="65"/>
      <c r="B1016" s="65"/>
      <c r="C1016" s="65"/>
      <c r="D1016" s="65"/>
      <c r="E1016" s="65"/>
      <c r="F1016" s="65"/>
      <c r="G1016" s="65"/>
    </row>
    <row r="1017">
      <c r="A1017" s="65"/>
      <c r="B1017" s="65"/>
      <c r="C1017" s="65"/>
      <c r="D1017" s="65"/>
      <c r="E1017" s="65"/>
      <c r="F1017" s="65"/>
      <c r="G1017" s="65"/>
    </row>
    <row r="1018">
      <c r="A1018" s="65"/>
      <c r="B1018" s="65"/>
      <c r="C1018" s="65"/>
      <c r="D1018" s="65"/>
      <c r="E1018" s="65"/>
      <c r="F1018" s="65"/>
      <c r="G1018" s="65"/>
    </row>
    <row r="1019">
      <c r="A1019" s="65"/>
      <c r="B1019" s="65"/>
      <c r="C1019" s="65"/>
      <c r="D1019" s="65"/>
      <c r="E1019" s="65"/>
      <c r="F1019" s="65"/>
      <c r="G1019" s="65"/>
    </row>
    <row r="1020">
      <c r="A1020" s="65"/>
      <c r="B1020" s="65"/>
      <c r="C1020" s="65"/>
      <c r="D1020" s="65"/>
      <c r="E1020" s="65"/>
      <c r="F1020" s="65"/>
      <c r="G1020" s="65"/>
    </row>
    <row r="1021">
      <c r="A1021" s="65"/>
      <c r="B1021" s="65"/>
      <c r="C1021" s="65"/>
      <c r="D1021" s="65"/>
      <c r="E1021" s="65"/>
      <c r="F1021" s="65"/>
      <c r="G1021" s="65"/>
    </row>
    <row r="1022">
      <c r="A1022" s="65"/>
      <c r="B1022" s="65"/>
      <c r="C1022" s="65"/>
      <c r="D1022" s="65"/>
      <c r="E1022" s="65"/>
      <c r="F1022" s="65"/>
      <c r="G1022" s="65"/>
    </row>
    <row r="1023">
      <c r="A1023" s="65"/>
      <c r="B1023" s="65"/>
      <c r="C1023" s="65"/>
      <c r="D1023" s="65"/>
      <c r="E1023" s="65"/>
      <c r="F1023" s="65"/>
      <c r="G1023" s="65"/>
    </row>
    <row r="1024">
      <c r="A1024" s="65"/>
      <c r="B1024" s="65"/>
      <c r="C1024" s="65"/>
      <c r="D1024" s="65"/>
      <c r="E1024" s="65"/>
      <c r="F1024" s="65"/>
      <c r="G1024" s="65"/>
    </row>
    <row r="1025">
      <c r="A1025" s="65"/>
      <c r="B1025" s="65"/>
      <c r="C1025" s="65"/>
      <c r="D1025" s="65"/>
      <c r="E1025" s="65"/>
      <c r="F1025" s="65"/>
      <c r="G1025" s="65"/>
    </row>
    <row r="1026">
      <c r="A1026" s="65"/>
      <c r="B1026" s="65"/>
      <c r="C1026" s="65"/>
      <c r="D1026" s="65"/>
      <c r="E1026" s="65"/>
      <c r="F1026" s="65"/>
      <c r="G1026" s="65"/>
    </row>
    <row r="1027">
      <c r="A1027" s="65"/>
      <c r="B1027" s="65"/>
      <c r="C1027" s="65"/>
      <c r="D1027" s="65"/>
      <c r="E1027" s="65"/>
      <c r="F1027" s="65"/>
      <c r="G1027" s="65"/>
    </row>
    <row r="1028">
      <c r="A1028" s="65"/>
      <c r="B1028" s="65"/>
      <c r="C1028" s="65"/>
      <c r="D1028" s="65"/>
      <c r="E1028" s="65"/>
      <c r="F1028" s="65"/>
      <c r="G1028" s="65"/>
    </row>
    <row r="1029">
      <c r="A1029" s="65"/>
      <c r="B1029" s="65"/>
      <c r="C1029" s="65"/>
      <c r="D1029" s="65"/>
      <c r="E1029" s="65"/>
      <c r="F1029" s="65"/>
      <c r="G1029" s="65"/>
    </row>
    <row r="1030">
      <c r="A1030" s="65"/>
      <c r="B1030" s="65"/>
      <c r="C1030" s="65"/>
      <c r="D1030" s="65"/>
      <c r="E1030" s="65"/>
      <c r="F1030" s="65"/>
      <c r="G1030" s="65"/>
    </row>
    <row r="1031">
      <c r="A1031" s="65"/>
      <c r="B1031" s="65"/>
      <c r="C1031" s="65"/>
      <c r="D1031" s="65"/>
      <c r="E1031" s="65"/>
      <c r="F1031" s="65"/>
      <c r="G1031" s="65"/>
    </row>
    <row r="1032">
      <c r="A1032" s="65"/>
      <c r="B1032" s="65"/>
      <c r="C1032" s="65"/>
      <c r="D1032" s="65"/>
      <c r="E1032" s="65"/>
      <c r="F1032" s="65"/>
      <c r="G1032" s="65"/>
    </row>
    <row r="1033">
      <c r="A1033" s="65"/>
      <c r="B1033" s="65"/>
      <c r="C1033" s="65"/>
      <c r="D1033" s="65"/>
      <c r="E1033" s="65"/>
      <c r="F1033" s="65"/>
      <c r="G1033" s="65"/>
    </row>
    <row r="1034">
      <c r="A1034" s="65"/>
      <c r="B1034" s="65"/>
      <c r="C1034" s="65"/>
      <c r="D1034" s="65"/>
      <c r="E1034" s="65"/>
      <c r="F1034" s="65"/>
      <c r="G1034" s="65"/>
    </row>
    <row r="1035">
      <c r="A1035" s="65"/>
      <c r="B1035" s="65"/>
      <c r="C1035" s="65"/>
      <c r="D1035" s="65"/>
      <c r="E1035" s="65"/>
      <c r="F1035" s="65"/>
      <c r="G1035" s="65"/>
    </row>
    <row r="1036">
      <c r="A1036" s="65"/>
      <c r="B1036" s="65"/>
      <c r="C1036" s="65"/>
      <c r="D1036" s="65"/>
      <c r="E1036" s="65"/>
      <c r="F1036" s="65"/>
      <c r="G1036" s="65"/>
    </row>
    <row r="1037">
      <c r="A1037" s="65"/>
      <c r="B1037" s="65"/>
      <c r="C1037" s="65"/>
      <c r="D1037" s="65"/>
      <c r="E1037" s="65"/>
      <c r="F1037" s="65"/>
      <c r="G1037" s="65"/>
    </row>
    <row r="1038">
      <c r="A1038" s="65"/>
      <c r="B1038" s="65"/>
      <c r="C1038" s="65"/>
      <c r="D1038" s="65"/>
      <c r="E1038" s="65"/>
      <c r="F1038" s="65"/>
      <c r="G1038" s="65"/>
    </row>
    <row r="1039">
      <c r="A1039" s="65"/>
      <c r="B1039" s="65"/>
      <c r="C1039" s="65"/>
      <c r="D1039" s="65"/>
      <c r="E1039" s="65"/>
      <c r="F1039" s="65"/>
      <c r="G1039" s="65"/>
    </row>
    <row r="1040">
      <c r="A1040" s="65"/>
      <c r="B1040" s="65"/>
      <c r="C1040" s="65"/>
      <c r="D1040" s="65"/>
      <c r="E1040" s="65"/>
      <c r="F1040" s="65"/>
      <c r="G1040" s="65"/>
    </row>
    <row r="1041">
      <c r="A1041" s="65"/>
      <c r="B1041" s="65"/>
      <c r="C1041" s="65"/>
      <c r="D1041" s="65"/>
      <c r="E1041" s="65"/>
      <c r="F1041" s="65"/>
      <c r="G1041" s="65"/>
    </row>
    <row r="1042">
      <c r="A1042" s="65"/>
      <c r="B1042" s="65"/>
      <c r="C1042" s="65"/>
      <c r="D1042" s="65"/>
      <c r="E1042" s="65"/>
      <c r="F1042" s="65"/>
      <c r="G1042" s="65"/>
    </row>
    <row r="1043">
      <c r="A1043" s="65"/>
      <c r="B1043" s="65"/>
      <c r="C1043" s="65"/>
      <c r="D1043" s="65"/>
      <c r="E1043" s="65"/>
      <c r="F1043" s="65"/>
      <c r="G1043" s="65"/>
    </row>
    <row r="1044">
      <c r="A1044" s="65"/>
      <c r="B1044" s="65"/>
      <c r="C1044" s="65"/>
      <c r="D1044" s="65"/>
      <c r="E1044" s="65"/>
      <c r="F1044" s="65"/>
      <c r="G1044" s="65"/>
    </row>
    <row r="1045">
      <c r="A1045" s="65"/>
      <c r="B1045" s="65"/>
      <c r="C1045" s="65"/>
      <c r="D1045" s="65"/>
      <c r="E1045" s="65"/>
      <c r="F1045" s="65"/>
      <c r="G1045" s="65"/>
    </row>
    <row r="1046">
      <c r="A1046" s="65"/>
      <c r="B1046" s="65"/>
      <c r="C1046" s="65"/>
      <c r="D1046" s="65"/>
      <c r="E1046" s="65"/>
      <c r="F1046" s="65"/>
      <c r="G1046" s="65"/>
    </row>
    <row r="1047">
      <c r="A1047" s="65"/>
      <c r="B1047" s="65"/>
      <c r="C1047" s="65"/>
      <c r="D1047" s="65"/>
      <c r="E1047" s="65"/>
      <c r="F1047" s="65"/>
      <c r="G1047" s="65"/>
    </row>
    <row r="1048">
      <c r="A1048" s="65"/>
      <c r="B1048" s="65"/>
      <c r="C1048" s="65"/>
      <c r="D1048" s="65"/>
      <c r="E1048" s="65"/>
      <c r="F1048" s="65"/>
      <c r="G1048" s="65"/>
    </row>
    <row r="1049">
      <c r="A1049" s="65"/>
      <c r="B1049" s="65"/>
      <c r="C1049" s="65"/>
      <c r="D1049" s="65"/>
      <c r="E1049" s="65"/>
      <c r="F1049" s="65"/>
      <c r="G1049" s="65"/>
    </row>
    <row r="1050">
      <c r="A1050" s="65"/>
      <c r="B1050" s="65"/>
      <c r="C1050" s="65"/>
      <c r="D1050" s="65"/>
      <c r="E1050" s="65"/>
      <c r="F1050" s="65"/>
      <c r="G1050" s="65"/>
    </row>
    <row r="1051">
      <c r="A1051" s="65"/>
      <c r="B1051" s="65"/>
      <c r="C1051" s="65"/>
      <c r="D1051" s="65"/>
      <c r="E1051" s="65"/>
      <c r="F1051" s="65"/>
      <c r="G1051" s="65"/>
    </row>
    <row r="1052">
      <c r="A1052" s="65"/>
      <c r="B1052" s="65"/>
      <c r="C1052" s="65"/>
      <c r="D1052" s="65"/>
      <c r="E1052" s="65"/>
      <c r="F1052" s="65"/>
      <c r="G1052" s="65"/>
    </row>
    <row r="1053">
      <c r="A1053" s="65"/>
      <c r="B1053" s="65"/>
      <c r="C1053" s="65"/>
      <c r="D1053" s="65"/>
      <c r="E1053" s="65"/>
      <c r="F1053" s="65"/>
      <c r="G1053" s="65"/>
    </row>
    <row r="1054">
      <c r="A1054" s="65"/>
      <c r="B1054" s="65"/>
      <c r="C1054" s="65"/>
      <c r="D1054" s="65"/>
      <c r="E1054" s="65"/>
      <c r="F1054" s="65"/>
      <c r="G1054" s="65"/>
    </row>
    <row r="1055">
      <c r="A1055" s="65"/>
      <c r="B1055" s="65"/>
      <c r="C1055" s="65"/>
      <c r="D1055" s="65"/>
      <c r="E1055" s="65"/>
      <c r="F1055" s="65"/>
      <c r="G1055" s="65"/>
    </row>
    <row r="1056">
      <c r="A1056" s="65"/>
      <c r="B1056" s="65"/>
      <c r="C1056" s="65"/>
      <c r="D1056" s="65"/>
      <c r="E1056" s="65"/>
      <c r="F1056" s="65"/>
      <c r="G1056" s="65"/>
    </row>
    <row r="1057">
      <c r="A1057" s="65"/>
      <c r="B1057" s="65"/>
      <c r="C1057" s="65"/>
      <c r="D1057" s="65"/>
      <c r="E1057" s="65"/>
      <c r="F1057" s="65"/>
      <c r="G1057" s="65"/>
    </row>
    <row r="1058">
      <c r="A1058" s="65"/>
      <c r="B1058" s="65"/>
      <c r="C1058" s="65"/>
      <c r="D1058" s="65"/>
      <c r="E1058" s="65"/>
      <c r="F1058" s="65"/>
      <c r="G1058" s="65"/>
    </row>
    <row r="1059">
      <c r="A1059" s="65"/>
      <c r="B1059" s="65"/>
      <c r="C1059" s="65"/>
      <c r="D1059" s="65"/>
      <c r="E1059" s="65"/>
      <c r="F1059" s="65"/>
      <c r="G1059" s="65"/>
    </row>
    <row r="1060">
      <c r="A1060" s="65"/>
      <c r="B1060" s="65"/>
      <c r="C1060" s="65"/>
      <c r="D1060" s="65"/>
      <c r="E1060" s="65"/>
      <c r="F1060" s="65"/>
      <c r="G1060" s="65"/>
    </row>
    <row r="1061">
      <c r="A1061" s="65"/>
      <c r="B1061" s="65"/>
      <c r="C1061" s="65"/>
      <c r="D1061" s="65"/>
      <c r="E1061" s="65"/>
      <c r="F1061" s="65"/>
      <c r="G1061" s="65"/>
    </row>
    <row r="1062">
      <c r="A1062" s="65"/>
      <c r="B1062" s="65"/>
      <c r="C1062" s="65"/>
      <c r="D1062" s="65"/>
      <c r="E1062" s="65"/>
      <c r="F1062" s="65"/>
      <c r="G1062" s="65"/>
    </row>
    <row r="1063">
      <c r="A1063" s="65"/>
      <c r="B1063" s="65"/>
      <c r="C1063" s="65"/>
      <c r="D1063" s="65"/>
      <c r="E1063" s="65"/>
      <c r="F1063" s="65"/>
      <c r="G1063" s="65"/>
    </row>
    <row r="1064">
      <c r="A1064" s="65"/>
      <c r="B1064" s="65"/>
      <c r="C1064" s="65"/>
      <c r="D1064" s="65"/>
      <c r="E1064" s="65"/>
      <c r="F1064" s="65"/>
      <c r="G1064" s="65"/>
    </row>
    <row r="1065">
      <c r="A1065" s="65"/>
      <c r="B1065" s="65"/>
      <c r="C1065" s="65"/>
      <c r="D1065" s="65"/>
      <c r="E1065" s="65"/>
      <c r="F1065" s="65"/>
      <c r="G1065" s="65"/>
    </row>
    <row r="1066">
      <c r="A1066" s="65"/>
      <c r="B1066" s="65"/>
      <c r="C1066" s="65"/>
      <c r="D1066" s="65"/>
      <c r="E1066" s="65"/>
      <c r="F1066" s="65"/>
      <c r="G1066" s="65"/>
    </row>
    <row r="1067">
      <c r="A1067" s="65"/>
      <c r="B1067" s="65"/>
      <c r="C1067" s="65"/>
      <c r="D1067" s="65"/>
      <c r="E1067" s="65"/>
      <c r="F1067" s="65"/>
      <c r="G1067" s="65"/>
    </row>
    <row r="1068">
      <c r="A1068" s="65"/>
      <c r="B1068" s="65"/>
      <c r="C1068" s="65"/>
      <c r="D1068" s="65"/>
      <c r="E1068" s="65"/>
      <c r="F1068" s="65"/>
      <c r="G1068" s="65"/>
    </row>
    <row r="1069">
      <c r="A1069" s="65"/>
      <c r="B1069" s="65"/>
      <c r="C1069" s="65"/>
      <c r="D1069" s="65"/>
      <c r="E1069" s="65"/>
      <c r="F1069" s="65"/>
      <c r="G1069" s="65"/>
    </row>
    <row r="1070">
      <c r="A1070" s="65"/>
      <c r="B1070" s="65"/>
      <c r="C1070" s="65"/>
      <c r="D1070" s="65"/>
      <c r="E1070" s="65"/>
      <c r="F1070" s="65"/>
      <c r="G1070" s="65"/>
    </row>
    <row r="1071">
      <c r="A1071" s="65"/>
      <c r="B1071" s="65"/>
      <c r="C1071" s="65"/>
      <c r="D1071" s="65"/>
      <c r="E1071" s="65"/>
      <c r="F1071" s="65"/>
      <c r="G1071" s="65"/>
    </row>
    <row r="1072">
      <c r="A1072" s="65"/>
      <c r="B1072" s="65"/>
      <c r="C1072" s="65"/>
      <c r="D1072" s="65"/>
      <c r="E1072" s="65"/>
      <c r="F1072" s="65"/>
      <c r="G1072" s="65"/>
    </row>
    <row r="1073">
      <c r="A1073" s="65"/>
      <c r="B1073" s="65"/>
      <c r="C1073" s="65"/>
      <c r="D1073" s="65"/>
      <c r="E1073" s="65"/>
      <c r="F1073" s="65"/>
      <c r="G1073" s="65"/>
    </row>
    <row r="1074">
      <c r="A1074" s="65"/>
      <c r="B1074" s="65"/>
      <c r="C1074" s="65"/>
      <c r="D1074" s="65"/>
      <c r="E1074" s="65"/>
      <c r="F1074" s="65"/>
      <c r="G1074" s="65"/>
    </row>
    <row r="1075">
      <c r="A1075" s="65"/>
      <c r="B1075" s="65"/>
      <c r="C1075" s="65"/>
      <c r="D1075" s="65"/>
      <c r="E1075" s="65"/>
      <c r="F1075" s="65"/>
      <c r="G1075" s="65"/>
    </row>
    <row r="1076">
      <c r="A1076" s="65"/>
      <c r="B1076" s="65"/>
      <c r="C1076" s="65"/>
      <c r="D1076" s="65"/>
      <c r="E1076" s="65"/>
      <c r="F1076" s="65"/>
      <c r="G1076" s="65"/>
    </row>
    <row r="1077">
      <c r="A1077" s="65"/>
      <c r="B1077" s="65"/>
      <c r="C1077" s="65"/>
      <c r="D1077" s="65"/>
      <c r="E1077" s="65"/>
      <c r="F1077" s="65"/>
      <c r="G1077" s="65"/>
    </row>
    <row r="1078">
      <c r="A1078" s="65"/>
      <c r="B1078" s="65"/>
      <c r="C1078" s="65"/>
      <c r="D1078" s="65"/>
      <c r="E1078" s="65"/>
      <c r="F1078" s="65"/>
      <c r="G1078" s="65"/>
    </row>
    <row r="1079">
      <c r="A1079" s="65"/>
      <c r="B1079" s="65"/>
      <c r="C1079" s="65"/>
      <c r="D1079" s="65"/>
      <c r="E1079" s="65"/>
      <c r="F1079" s="65"/>
      <c r="G1079" s="65"/>
    </row>
    <row r="1080">
      <c r="A1080" s="65"/>
      <c r="B1080" s="65"/>
      <c r="C1080" s="65"/>
      <c r="D1080" s="65"/>
      <c r="E1080" s="65"/>
      <c r="F1080" s="65"/>
      <c r="G1080" s="65"/>
    </row>
    <row r="1081">
      <c r="A1081" s="65"/>
      <c r="B1081" s="65"/>
      <c r="C1081" s="65"/>
      <c r="D1081" s="65"/>
      <c r="E1081" s="65"/>
      <c r="F1081" s="65"/>
      <c r="G1081" s="65"/>
    </row>
    <row r="1082">
      <c r="A1082" s="65"/>
      <c r="B1082" s="65"/>
      <c r="C1082" s="65"/>
      <c r="D1082" s="65"/>
      <c r="E1082" s="65"/>
      <c r="F1082" s="65"/>
      <c r="G1082" s="65"/>
    </row>
    <row r="1083">
      <c r="A1083" s="65"/>
      <c r="B1083" s="65"/>
      <c r="C1083" s="65"/>
      <c r="D1083" s="65"/>
      <c r="E1083" s="65"/>
      <c r="F1083" s="65"/>
      <c r="G1083" s="65"/>
    </row>
    <row r="1084">
      <c r="A1084" s="65"/>
      <c r="B1084" s="65"/>
      <c r="C1084" s="65"/>
      <c r="D1084" s="65"/>
      <c r="E1084" s="65"/>
      <c r="F1084" s="65"/>
      <c r="G1084" s="65"/>
    </row>
    <row r="1085">
      <c r="A1085" s="65"/>
      <c r="B1085" s="65"/>
      <c r="C1085" s="65"/>
      <c r="D1085" s="65"/>
      <c r="E1085" s="65"/>
      <c r="F1085" s="65"/>
      <c r="G1085" s="65"/>
    </row>
    <row r="1086">
      <c r="A1086" s="65"/>
      <c r="B1086" s="65"/>
      <c r="C1086" s="65"/>
      <c r="D1086" s="65"/>
      <c r="E1086" s="65"/>
      <c r="F1086" s="65"/>
      <c r="G1086" s="65"/>
    </row>
    <row r="1087">
      <c r="A1087" s="65"/>
      <c r="B1087" s="65"/>
      <c r="C1087" s="65"/>
      <c r="D1087" s="65"/>
      <c r="E1087" s="65"/>
      <c r="F1087" s="65"/>
      <c r="G1087" s="65"/>
    </row>
    <row r="1088">
      <c r="A1088" s="65"/>
      <c r="B1088" s="65"/>
      <c r="C1088" s="65"/>
      <c r="D1088" s="65"/>
      <c r="E1088" s="65"/>
      <c r="F1088" s="65"/>
      <c r="G1088" s="65"/>
    </row>
    <row r="1089">
      <c r="A1089" s="65"/>
      <c r="B1089" s="65"/>
      <c r="C1089" s="65"/>
      <c r="D1089" s="65"/>
      <c r="E1089" s="65"/>
      <c r="F1089" s="65"/>
      <c r="G1089" s="65"/>
    </row>
    <row r="1090">
      <c r="A1090" s="65"/>
      <c r="B1090" s="65"/>
      <c r="C1090" s="65"/>
      <c r="D1090" s="65"/>
      <c r="E1090" s="65"/>
      <c r="F1090" s="65"/>
      <c r="G1090" s="65"/>
    </row>
    <row r="1091">
      <c r="A1091" s="65"/>
      <c r="B1091" s="65"/>
      <c r="C1091" s="65"/>
      <c r="D1091" s="65"/>
      <c r="E1091" s="65"/>
      <c r="F1091" s="65"/>
      <c r="G1091" s="65"/>
    </row>
    <row r="1092">
      <c r="A1092" s="65"/>
      <c r="B1092" s="65"/>
      <c r="C1092" s="65"/>
      <c r="D1092" s="65"/>
      <c r="E1092" s="65"/>
      <c r="F1092" s="65"/>
      <c r="G1092" s="65"/>
    </row>
    <row r="1093">
      <c r="A1093" s="65"/>
      <c r="B1093" s="65"/>
      <c r="C1093" s="65"/>
      <c r="D1093" s="65"/>
      <c r="E1093" s="65"/>
      <c r="F1093" s="65"/>
      <c r="G1093" s="65"/>
    </row>
    <row r="1094">
      <c r="A1094" s="65"/>
      <c r="B1094" s="65"/>
      <c r="C1094" s="65"/>
      <c r="D1094" s="65"/>
      <c r="E1094" s="65"/>
      <c r="F1094" s="65"/>
      <c r="G1094" s="65"/>
    </row>
    <row r="1095">
      <c r="A1095" s="65"/>
      <c r="B1095" s="65"/>
      <c r="C1095" s="65"/>
      <c r="D1095" s="65"/>
      <c r="E1095" s="65"/>
      <c r="F1095" s="65"/>
      <c r="G1095" s="65"/>
    </row>
    <row r="1096">
      <c r="A1096" s="65"/>
      <c r="B1096" s="65"/>
      <c r="C1096" s="65"/>
      <c r="D1096" s="65"/>
      <c r="E1096" s="65"/>
      <c r="F1096" s="65"/>
      <c r="G1096" s="65"/>
    </row>
    <row r="1097">
      <c r="A1097" s="65"/>
      <c r="B1097" s="65"/>
      <c r="C1097" s="65"/>
      <c r="D1097" s="65"/>
      <c r="E1097" s="65"/>
      <c r="F1097" s="65"/>
      <c r="G1097" s="65"/>
    </row>
    <row r="1098">
      <c r="A1098" s="65"/>
      <c r="B1098" s="65"/>
      <c r="C1098" s="65"/>
      <c r="D1098" s="65"/>
      <c r="E1098" s="65"/>
      <c r="F1098" s="65"/>
      <c r="G1098" s="65"/>
    </row>
    <row r="1099">
      <c r="A1099" s="65"/>
      <c r="B1099" s="65"/>
      <c r="C1099" s="65"/>
      <c r="D1099" s="65"/>
      <c r="E1099" s="65"/>
      <c r="F1099" s="65"/>
      <c r="G1099" s="65"/>
    </row>
    <row r="1100">
      <c r="A1100" s="65"/>
      <c r="B1100" s="65"/>
      <c r="C1100" s="65"/>
      <c r="D1100" s="65"/>
      <c r="E1100" s="65"/>
      <c r="F1100" s="65"/>
      <c r="G1100" s="65"/>
    </row>
    <row r="1101">
      <c r="A1101" s="65"/>
      <c r="B1101" s="65"/>
      <c r="C1101" s="65"/>
      <c r="D1101" s="65"/>
      <c r="E1101" s="65"/>
      <c r="F1101" s="65"/>
      <c r="G1101" s="65"/>
    </row>
    <row r="1102">
      <c r="A1102" s="65"/>
      <c r="B1102" s="65"/>
      <c r="C1102" s="65"/>
      <c r="D1102" s="65"/>
      <c r="E1102" s="65"/>
      <c r="F1102" s="65"/>
      <c r="G1102" s="65"/>
    </row>
    <row r="1103">
      <c r="A1103" s="65"/>
      <c r="B1103" s="65"/>
      <c r="C1103" s="65"/>
      <c r="D1103" s="65"/>
      <c r="E1103" s="65"/>
      <c r="F1103" s="65"/>
      <c r="G1103" s="65"/>
    </row>
    <row r="1104">
      <c r="A1104" s="65"/>
      <c r="B1104" s="65"/>
      <c r="C1104" s="65"/>
      <c r="D1104" s="65"/>
      <c r="E1104" s="65"/>
      <c r="F1104" s="65"/>
      <c r="G1104" s="65"/>
    </row>
    <row r="1105">
      <c r="A1105" s="65"/>
      <c r="B1105" s="65"/>
      <c r="C1105" s="65"/>
      <c r="D1105" s="65"/>
      <c r="E1105" s="65"/>
      <c r="F1105" s="65"/>
      <c r="G1105" s="65"/>
    </row>
    <row r="1106">
      <c r="A1106" s="65"/>
      <c r="B1106" s="65"/>
      <c r="C1106" s="65"/>
      <c r="D1106" s="65"/>
      <c r="E1106" s="65"/>
      <c r="F1106" s="65"/>
      <c r="G1106" s="65"/>
    </row>
    <row r="1107">
      <c r="A1107" s="65"/>
      <c r="B1107" s="65"/>
      <c r="C1107" s="65"/>
      <c r="D1107" s="65"/>
      <c r="E1107" s="65"/>
      <c r="F1107" s="65"/>
      <c r="G1107" s="65"/>
    </row>
    <row r="1108">
      <c r="A1108" s="65"/>
      <c r="B1108" s="65"/>
      <c r="C1108" s="65"/>
      <c r="D1108" s="65"/>
      <c r="E1108" s="65"/>
      <c r="F1108" s="65"/>
      <c r="G1108" s="65"/>
    </row>
    <row r="1109">
      <c r="A1109" s="65"/>
      <c r="B1109" s="65"/>
      <c r="C1109" s="65"/>
      <c r="D1109" s="65"/>
      <c r="E1109" s="65"/>
      <c r="F1109" s="65"/>
      <c r="G1109" s="65"/>
    </row>
    <row r="1110">
      <c r="A1110" s="65"/>
      <c r="B1110" s="65"/>
      <c r="C1110" s="65"/>
      <c r="D1110" s="65"/>
      <c r="E1110" s="65"/>
      <c r="F1110" s="65"/>
      <c r="G1110" s="65"/>
    </row>
    <row r="1111">
      <c r="A1111" s="65"/>
      <c r="B1111" s="65"/>
      <c r="C1111" s="65"/>
      <c r="D1111" s="65"/>
      <c r="E1111" s="65"/>
      <c r="F1111" s="65"/>
      <c r="G1111" s="65"/>
    </row>
    <row r="1112">
      <c r="A1112" s="65"/>
      <c r="B1112" s="65"/>
      <c r="C1112" s="65"/>
      <c r="D1112" s="65"/>
      <c r="E1112" s="65"/>
      <c r="F1112" s="65"/>
      <c r="G1112" s="65"/>
    </row>
    <row r="1113">
      <c r="A1113" s="65"/>
      <c r="B1113" s="65"/>
      <c r="C1113" s="65"/>
      <c r="D1113" s="65"/>
      <c r="E1113" s="65"/>
      <c r="F1113" s="65"/>
      <c r="G1113" s="65"/>
    </row>
    <row r="1114">
      <c r="A1114" s="65"/>
      <c r="B1114" s="65"/>
      <c r="C1114" s="65"/>
      <c r="D1114" s="65"/>
      <c r="E1114" s="65"/>
      <c r="F1114" s="65"/>
      <c r="G1114" s="65"/>
    </row>
    <row r="1115">
      <c r="A1115" s="65"/>
      <c r="B1115" s="65"/>
      <c r="C1115" s="65"/>
      <c r="D1115" s="65"/>
      <c r="E1115" s="65"/>
      <c r="F1115" s="65"/>
      <c r="G1115" s="65"/>
    </row>
    <row r="1116">
      <c r="A1116" s="65"/>
      <c r="B1116" s="65"/>
      <c r="C1116" s="65"/>
      <c r="D1116" s="65"/>
      <c r="E1116" s="65"/>
      <c r="F1116" s="65"/>
      <c r="G1116" s="65"/>
    </row>
    <row r="1117">
      <c r="A1117" s="65"/>
      <c r="B1117" s="65"/>
      <c r="C1117" s="65"/>
      <c r="D1117" s="65"/>
      <c r="E1117" s="65"/>
      <c r="F1117" s="65"/>
      <c r="G1117" s="65"/>
    </row>
    <row r="1118">
      <c r="A1118" s="65"/>
      <c r="B1118" s="65"/>
      <c r="C1118" s="65"/>
      <c r="D1118" s="65"/>
      <c r="E1118" s="65"/>
      <c r="F1118" s="65"/>
      <c r="G1118" s="65"/>
    </row>
    <row r="1119">
      <c r="A1119" s="65"/>
      <c r="B1119" s="65"/>
      <c r="C1119" s="65"/>
      <c r="D1119" s="65"/>
      <c r="E1119" s="65"/>
      <c r="F1119" s="65"/>
      <c r="G1119" s="65"/>
    </row>
    <row r="1120">
      <c r="A1120" s="65"/>
      <c r="B1120" s="65"/>
      <c r="C1120" s="65"/>
      <c r="D1120" s="65"/>
      <c r="E1120" s="65"/>
      <c r="F1120" s="65"/>
      <c r="G1120" s="65"/>
    </row>
    <row r="1121">
      <c r="A1121" s="65"/>
      <c r="B1121" s="65"/>
      <c r="C1121" s="65"/>
      <c r="D1121" s="65"/>
      <c r="E1121" s="65"/>
      <c r="F1121" s="65"/>
      <c r="G1121" s="65"/>
    </row>
    <row r="1122">
      <c r="A1122" s="65"/>
      <c r="B1122" s="65"/>
      <c r="C1122" s="65"/>
      <c r="D1122" s="65"/>
      <c r="E1122" s="65"/>
      <c r="F1122" s="65"/>
      <c r="G1122" s="65"/>
    </row>
    <row r="1123">
      <c r="A1123" s="65"/>
      <c r="B1123" s="65"/>
      <c r="C1123" s="65"/>
      <c r="D1123" s="65"/>
      <c r="E1123" s="65"/>
      <c r="F1123" s="65"/>
      <c r="G1123" s="65"/>
    </row>
    <row r="1124">
      <c r="A1124" s="65"/>
      <c r="B1124" s="65"/>
      <c r="C1124" s="65"/>
      <c r="D1124" s="65"/>
      <c r="E1124" s="65"/>
      <c r="F1124" s="65"/>
      <c r="G1124" s="65"/>
    </row>
    <row r="1125">
      <c r="A1125" s="65"/>
      <c r="B1125" s="65"/>
      <c r="C1125" s="65"/>
      <c r="D1125" s="65"/>
      <c r="E1125" s="65"/>
      <c r="F1125" s="65"/>
      <c r="G1125" s="65"/>
    </row>
    <row r="1126">
      <c r="A1126" s="65"/>
      <c r="B1126" s="65"/>
      <c r="C1126" s="65"/>
      <c r="D1126" s="65"/>
      <c r="E1126" s="65"/>
      <c r="F1126" s="65"/>
      <c r="G1126" s="65"/>
    </row>
    <row r="1127">
      <c r="A1127" s="65"/>
      <c r="B1127" s="65"/>
      <c r="C1127" s="65"/>
      <c r="D1127" s="65"/>
      <c r="E1127" s="65"/>
      <c r="F1127" s="65"/>
      <c r="G1127" s="65"/>
    </row>
    <row r="1128">
      <c r="A1128" s="65"/>
      <c r="B1128" s="65"/>
      <c r="C1128" s="65"/>
      <c r="D1128" s="65"/>
      <c r="E1128" s="65"/>
      <c r="F1128" s="65"/>
      <c r="G1128" s="65"/>
    </row>
    <row r="1129">
      <c r="A1129" s="65"/>
      <c r="B1129" s="65"/>
      <c r="C1129" s="65"/>
      <c r="D1129" s="65"/>
      <c r="E1129" s="65"/>
      <c r="F1129" s="65"/>
      <c r="G1129" s="65"/>
    </row>
    <row r="1130">
      <c r="A1130" s="65"/>
      <c r="B1130" s="65"/>
      <c r="C1130" s="65"/>
      <c r="D1130" s="65"/>
      <c r="E1130" s="65"/>
      <c r="F1130" s="65"/>
      <c r="G1130" s="65"/>
    </row>
    <row r="1131">
      <c r="A1131" s="65"/>
      <c r="B1131" s="65"/>
      <c r="C1131" s="65"/>
      <c r="D1131" s="65"/>
      <c r="E1131" s="65"/>
      <c r="F1131" s="65"/>
      <c r="G1131" s="65"/>
    </row>
    <row r="1132">
      <c r="A1132" s="65"/>
      <c r="B1132" s="65"/>
      <c r="C1132" s="65"/>
      <c r="D1132" s="65"/>
      <c r="E1132" s="65"/>
      <c r="F1132" s="65"/>
      <c r="G1132" s="65"/>
    </row>
    <row r="1133">
      <c r="A1133" s="65"/>
      <c r="B1133" s="65"/>
      <c r="C1133" s="65"/>
      <c r="D1133" s="65"/>
      <c r="E1133" s="65"/>
      <c r="F1133" s="65"/>
      <c r="G1133" s="65"/>
    </row>
    <row r="1134">
      <c r="A1134" s="65"/>
      <c r="B1134" s="65"/>
      <c r="C1134" s="65"/>
      <c r="D1134" s="65"/>
      <c r="E1134" s="65"/>
      <c r="F1134" s="65"/>
      <c r="G1134" s="65"/>
    </row>
    <row r="1135">
      <c r="A1135" s="65"/>
      <c r="B1135" s="65"/>
      <c r="C1135" s="65"/>
      <c r="D1135" s="65"/>
      <c r="E1135" s="65"/>
      <c r="F1135" s="65"/>
      <c r="G1135" s="65"/>
    </row>
    <row r="1136">
      <c r="A1136" s="65"/>
      <c r="B1136" s="65"/>
      <c r="C1136" s="65"/>
      <c r="D1136" s="65"/>
      <c r="E1136" s="65"/>
      <c r="F1136" s="65"/>
      <c r="G1136" s="65"/>
    </row>
    <row r="1137">
      <c r="A1137" s="65"/>
      <c r="B1137" s="65"/>
      <c r="C1137" s="65"/>
      <c r="D1137" s="65"/>
      <c r="E1137" s="65"/>
      <c r="F1137" s="65"/>
      <c r="G1137" s="65"/>
    </row>
    <row r="1138">
      <c r="A1138" s="65"/>
      <c r="B1138" s="65"/>
      <c r="C1138" s="65"/>
      <c r="D1138" s="65"/>
      <c r="E1138" s="65"/>
      <c r="F1138" s="65"/>
      <c r="G1138" s="65"/>
    </row>
    <row r="1139">
      <c r="A1139" s="65"/>
      <c r="B1139" s="65"/>
      <c r="C1139" s="65"/>
      <c r="D1139" s="65"/>
      <c r="E1139" s="65"/>
      <c r="F1139" s="65"/>
      <c r="G1139" s="65"/>
    </row>
    <row r="1140">
      <c r="A1140" s="65"/>
      <c r="B1140" s="65"/>
      <c r="C1140" s="65"/>
      <c r="D1140" s="65"/>
      <c r="E1140" s="65"/>
      <c r="F1140" s="65"/>
      <c r="G1140" s="65"/>
    </row>
    <row r="1141">
      <c r="A1141" s="65"/>
      <c r="B1141" s="65"/>
      <c r="C1141" s="65"/>
      <c r="D1141" s="65"/>
      <c r="E1141" s="65"/>
      <c r="F1141" s="65"/>
      <c r="G1141" s="65"/>
    </row>
    <row r="1142">
      <c r="A1142" s="65"/>
      <c r="B1142" s="65"/>
      <c r="C1142" s="65"/>
      <c r="D1142" s="65"/>
      <c r="E1142" s="65"/>
      <c r="F1142" s="65"/>
      <c r="G1142" s="65"/>
    </row>
    <row r="1143">
      <c r="A1143" s="65"/>
      <c r="B1143" s="65"/>
      <c r="C1143" s="65"/>
      <c r="D1143" s="65"/>
      <c r="E1143" s="65"/>
      <c r="F1143" s="65"/>
      <c r="G1143" s="65"/>
    </row>
    <row r="1144">
      <c r="A1144" s="65"/>
      <c r="B1144" s="65"/>
      <c r="C1144" s="65"/>
      <c r="D1144" s="65"/>
      <c r="E1144" s="65"/>
      <c r="F1144" s="65"/>
      <c r="G1144" s="65"/>
    </row>
    <row r="1145">
      <c r="A1145" s="65"/>
      <c r="B1145" s="65"/>
      <c r="C1145" s="65"/>
      <c r="D1145" s="65"/>
      <c r="E1145" s="65"/>
      <c r="F1145" s="65"/>
      <c r="G1145" s="65"/>
    </row>
    <row r="1146">
      <c r="A1146" s="65"/>
      <c r="B1146" s="65"/>
      <c r="C1146" s="65"/>
      <c r="D1146" s="65"/>
      <c r="E1146" s="65"/>
      <c r="F1146" s="65"/>
      <c r="G1146" s="65"/>
    </row>
    <row r="1147">
      <c r="A1147" s="65"/>
      <c r="B1147" s="65"/>
      <c r="C1147" s="65"/>
      <c r="D1147" s="65"/>
      <c r="E1147" s="65"/>
      <c r="F1147" s="65"/>
      <c r="G1147" s="65"/>
    </row>
    <row r="1148">
      <c r="A1148" s="65"/>
      <c r="B1148" s="65"/>
      <c r="C1148" s="65"/>
      <c r="D1148" s="65"/>
      <c r="E1148" s="65"/>
      <c r="F1148" s="65"/>
      <c r="G1148" s="65"/>
    </row>
    <row r="1149">
      <c r="A1149" s="65"/>
      <c r="B1149" s="65"/>
      <c r="C1149" s="65"/>
      <c r="D1149" s="65"/>
      <c r="E1149" s="65"/>
      <c r="F1149" s="65"/>
      <c r="G1149" s="65"/>
    </row>
    <row r="1150">
      <c r="A1150" s="65"/>
      <c r="B1150" s="65"/>
      <c r="C1150" s="65"/>
      <c r="D1150" s="65"/>
      <c r="E1150" s="65"/>
      <c r="F1150" s="65"/>
      <c r="G1150" s="65"/>
    </row>
    <row r="1151">
      <c r="A1151" s="65"/>
      <c r="B1151" s="65"/>
      <c r="C1151" s="65"/>
      <c r="D1151" s="65"/>
      <c r="E1151" s="65"/>
      <c r="F1151" s="65"/>
      <c r="G1151" s="65"/>
    </row>
    <row r="1152">
      <c r="A1152" s="65"/>
      <c r="B1152" s="65"/>
      <c r="C1152" s="65"/>
      <c r="D1152" s="65"/>
      <c r="E1152" s="65"/>
      <c r="F1152" s="65"/>
      <c r="G1152" s="65"/>
    </row>
    <row r="1153">
      <c r="A1153" s="65"/>
      <c r="B1153" s="65"/>
      <c r="C1153" s="65"/>
      <c r="D1153" s="65"/>
      <c r="E1153" s="65"/>
      <c r="F1153" s="65"/>
      <c r="G1153" s="65"/>
    </row>
    <row r="1154">
      <c r="A1154" s="65"/>
      <c r="B1154" s="65"/>
      <c r="C1154" s="65"/>
      <c r="D1154" s="65"/>
      <c r="E1154" s="65"/>
      <c r="F1154" s="65"/>
      <c r="G1154" s="65"/>
    </row>
    <row r="1155">
      <c r="A1155" s="65"/>
      <c r="B1155" s="65"/>
      <c r="C1155" s="65"/>
      <c r="D1155" s="65"/>
      <c r="E1155" s="65"/>
      <c r="F1155" s="65"/>
      <c r="G1155" s="65"/>
    </row>
    <row r="1156">
      <c r="A1156" s="65"/>
      <c r="B1156" s="65"/>
      <c r="C1156" s="65"/>
      <c r="D1156" s="65"/>
      <c r="E1156" s="65"/>
      <c r="F1156" s="65"/>
      <c r="G1156" s="65"/>
    </row>
    <row r="1157">
      <c r="A1157" s="65"/>
      <c r="B1157" s="65"/>
      <c r="C1157" s="65"/>
      <c r="D1157" s="65"/>
      <c r="E1157" s="65"/>
      <c r="F1157" s="65"/>
      <c r="G1157" s="65"/>
    </row>
    <row r="1158">
      <c r="A1158" s="65"/>
      <c r="B1158" s="65"/>
      <c r="C1158" s="65"/>
      <c r="D1158" s="65"/>
      <c r="E1158" s="65"/>
      <c r="F1158" s="65"/>
      <c r="G1158" s="65"/>
    </row>
    <row r="1159">
      <c r="A1159" s="65"/>
      <c r="B1159" s="65"/>
      <c r="C1159" s="65"/>
      <c r="D1159" s="65"/>
      <c r="E1159" s="65"/>
      <c r="F1159" s="65"/>
      <c r="G1159" s="65"/>
    </row>
    <row r="1160">
      <c r="A1160" s="65"/>
      <c r="B1160" s="65"/>
      <c r="C1160" s="65"/>
      <c r="D1160" s="65"/>
      <c r="E1160" s="65"/>
      <c r="F1160" s="65"/>
      <c r="G1160" s="65"/>
    </row>
    <row r="1161">
      <c r="A1161" s="65"/>
      <c r="B1161" s="65"/>
      <c r="C1161" s="65"/>
      <c r="D1161" s="65"/>
      <c r="E1161" s="65"/>
      <c r="F1161" s="65"/>
      <c r="G1161" s="65"/>
    </row>
    <row r="1162">
      <c r="A1162" s="65"/>
      <c r="B1162" s="65"/>
      <c r="C1162" s="65"/>
      <c r="D1162" s="65"/>
      <c r="E1162" s="65"/>
      <c r="F1162" s="65"/>
      <c r="G1162" s="65"/>
    </row>
    <row r="1163">
      <c r="A1163" s="65"/>
      <c r="B1163" s="65"/>
      <c r="C1163" s="65"/>
      <c r="D1163" s="65"/>
      <c r="E1163" s="65"/>
      <c r="F1163" s="65"/>
      <c r="G1163" s="65"/>
    </row>
    <row r="1164">
      <c r="A1164" s="65"/>
      <c r="B1164" s="65"/>
      <c r="C1164" s="65"/>
      <c r="D1164" s="65"/>
      <c r="E1164" s="65"/>
      <c r="F1164" s="65"/>
      <c r="G1164" s="65"/>
    </row>
    <row r="1165">
      <c r="A1165" s="65"/>
      <c r="B1165" s="65"/>
      <c r="C1165" s="65"/>
      <c r="D1165" s="65"/>
      <c r="E1165" s="65"/>
      <c r="F1165" s="65"/>
      <c r="G1165" s="65"/>
    </row>
    <row r="1166">
      <c r="A1166" s="65"/>
      <c r="B1166" s="65"/>
      <c r="C1166" s="65"/>
      <c r="D1166" s="65"/>
      <c r="E1166" s="65"/>
      <c r="F1166" s="65"/>
      <c r="G1166" s="65"/>
    </row>
    <row r="1167">
      <c r="A1167" s="65"/>
      <c r="B1167" s="65"/>
      <c r="C1167" s="65"/>
      <c r="D1167" s="65"/>
      <c r="E1167" s="65"/>
      <c r="F1167" s="65"/>
      <c r="G1167" s="65"/>
    </row>
    <row r="1168">
      <c r="A1168" s="65"/>
      <c r="B1168" s="65"/>
      <c r="C1168" s="65"/>
      <c r="D1168" s="65"/>
      <c r="E1168" s="65"/>
      <c r="F1168" s="65"/>
      <c r="G1168" s="65"/>
    </row>
    <row r="1169">
      <c r="A1169" s="65"/>
      <c r="B1169" s="65"/>
      <c r="C1169" s="65"/>
      <c r="D1169" s="65"/>
      <c r="E1169" s="65"/>
      <c r="F1169" s="65"/>
      <c r="G1169" s="65"/>
    </row>
    <row r="1170">
      <c r="A1170" s="65"/>
      <c r="B1170" s="65"/>
      <c r="C1170" s="65"/>
      <c r="D1170" s="65"/>
      <c r="E1170" s="65"/>
      <c r="F1170" s="65"/>
      <c r="G1170" s="65"/>
    </row>
    <row r="1171">
      <c r="A1171" s="65"/>
      <c r="B1171" s="65"/>
      <c r="C1171" s="65"/>
      <c r="D1171" s="65"/>
      <c r="E1171" s="65"/>
      <c r="F1171" s="65"/>
      <c r="G1171" s="65"/>
    </row>
    <row r="1172">
      <c r="A1172" s="65"/>
      <c r="B1172" s="65"/>
      <c r="C1172" s="65"/>
      <c r="D1172" s="65"/>
      <c r="E1172" s="65"/>
      <c r="F1172" s="65"/>
      <c r="G1172" s="65"/>
    </row>
    <row r="1173">
      <c r="A1173" s="65"/>
      <c r="B1173" s="65"/>
      <c r="C1173" s="65"/>
      <c r="D1173" s="65"/>
      <c r="E1173" s="65"/>
      <c r="F1173" s="65"/>
      <c r="G1173" s="65"/>
    </row>
    <row r="1174">
      <c r="A1174" s="65"/>
      <c r="B1174" s="65"/>
      <c r="C1174" s="65"/>
      <c r="D1174" s="65"/>
      <c r="E1174" s="65"/>
      <c r="F1174" s="65"/>
      <c r="G1174" s="65"/>
    </row>
    <row r="1175">
      <c r="A1175" s="65"/>
      <c r="B1175" s="65"/>
      <c r="C1175" s="65"/>
      <c r="D1175" s="65"/>
      <c r="E1175" s="65"/>
      <c r="F1175" s="65"/>
      <c r="G1175" s="65"/>
    </row>
    <row r="1176">
      <c r="A1176" s="65"/>
      <c r="B1176" s="65"/>
      <c r="C1176" s="65"/>
      <c r="D1176" s="65"/>
      <c r="E1176" s="65"/>
      <c r="F1176" s="65"/>
      <c r="G1176" s="65"/>
    </row>
    <row r="1177">
      <c r="A1177" s="65"/>
      <c r="B1177" s="65"/>
      <c r="C1177" s="65"/>
      <c r="D1177" s="65"/>
      <c r="E1177" s="65"/>
      <c r="F1177" s="65"/>
      <c r="G1177" s="65"/>
    </row>
    <row r="1178">
      <c r="A1178" s="65"/>
      <c r="B1178" s="65"/>
      <c r="C1178" s="65"/>
      <c r="D1178" s="65"/>
      <c r="E1178" s="65"/>
      <c r="F1178" s="65"/>
      <c r="G1178" s="65"/>
    </row>
    <row r="1179">
      <c r="A1179" s="65"/>
      <c r="B1179" s="65"/>
      <c r="C1179" s="65"/>
      <c r="D1179" s="65"/>
      <c r="E1179" s="65"/>
      <c r="F1179" s="65"/>
      <c r="G1179" s="65"/>
    </row>
    <row r="1180">
      <c r="A1180" s="65"/>
      <c r="B1180" s="65"/>
      <c r="C1180" s="65"/>
      <c r="D1180" s="65"/>
      <c r="E1180" s="65"/>
      <c r="F1180" s="65"/>
      <c r="G1180" s="65"/>
    </row>
    <row r="1181">
      <c r="A1181" s="65"/>
      <c r="B1181" s="65"/>
      <c r="C1181" s="65"/>
      <c r="D1181" s="65"/>
      <c r="E1181" s="65"/>
      <c r="F1181" s="65"/>
      <c r="G1181" s="65"/>
    </row>
    <row r="1182">
      <c r="A1182" s="65"/>
      <c r="B1182" s="65"/>
      <c r="C1182" s="65"/>
      <c r="D1182" s="65"/>
      <c r="E1182" s="65"/>
      <c r="F1182" s="65"/>
      <c r="G1182" s="65"/>
    </row>
    <row r="1183">
      <c r="A1183" s="65"/>
      <c r="B1183" s="65"/>
      <c r="C1183" s="65"/>
      <c r="D1183" s="65"/>
      <c r="E1183" s="65"/>
      <c r="F1183" s="65"/>
      <c r="G1183" s="65"/>
    </row>
    <row r="1184">
      <c r="A1184" s="65"/>
      <c r="B1184" s="65"/>
      <c r="C1184" s="65"/>
      <c r="D1184" s="65"/>
      <c r="E1184" s="65"/>
      <c r="F1184" s="65"/>
      <c r="G1184" s="65"/>
    </row>
    <row r="1185">
      <c r="A1185" s="65"/>
      <c r="B1185" s="65"/>
      <c r="C1185" s="65"/>
      <c r="D1185" s="65"/>
      <c r="E1185" s="65"/>
      <c r="F1185" s="65"/>
      <c r="G1185" s="65"/>
    </row>
    <row r="1186">
      <c r="A1186" s="65"/>
      <c r="B1186" s="65"/>
      <c r="C1186" s="65"/>
      <c r="D1186" s="65"/>
      <c r="E1186" s="65"/>
      <c r="F1186" s="65"/>
      <c r="G1186" s="65"/>
    </row>
    <row r="1187">
      <c r="A1187" s="65"/>
      <c r="B1187" s="65"/>
      <c r="C1187" s="65"/>
      <c r="D1187" s="65"/>
      <c r="E1187" s="65"/>
      <c r="F1187" s="65"/>
      <c r="G1187" s="65"/>
    </row>
    <row r="1188">
      <c r="A1188" s="65"/>
      <c r="B1188" s="65"/>
      <c r="C1188" s="65"/>
      <c r="D1188" s="65"/>
      <c r="E1188" s="65"/>
      <c r="F1188" s="65"/>
      <c r="G1188" s="65"/>
    </row>
    <row r="1189">
      <c r="A1189" s="65"/>
      <c r="B1189" s="65"/>
      <c r="C1189" s="65"/>
      <c r="D1189" s="65"/>
      <c r="E1189" s="65"/>
      <c r="F1189" s="65"/>
      <c r="G1189" s="65"/>
    </row>
    <row r="1190">
      <c r="A1190" s="65"/>
      <c r="B1190" s="65"/>
      <c r="C1190" s="65"/>
      <c r="D1190" s="65"/>
      <c r="E1190" s="65"/>
      <c r="F1190" s="65"/>
      <c r="G1190" s="65"/>
    </row>
    <row r="1191">
      <c r="A1191" s="65"/>
      <c r="B1191" s="65"/>
      <c r="C1191" s="65"/>
      <c r="D1191" s="65"/>
      <c r="E1191" s="65"/>
      <c r="F1191" s="65"/>
      <c r="G1191" s="65"/>
    </row>
    <row r="1192">
      <c r="A1192" s="65"/>
      <c r="B1192" s="65"/>
      <c r="C1192" s="65"/>
      <c r="D1192" s="65"/>
      <c r="E1192" s="65"/>
      <c r="F1192" s="65"/>
      <c r="G1192" s="65"/>
    </row>
    <row r="1193">
      <c r="A1193" s="65"/>
      <c r="B1193" s="65"/>
      <c r="C1193" s="65"/>
      <c r="D1193" s="65"/>
      <c r="E1193" s="65"/>
      <c r="F1193" s="65"/>
      <c r="G1193" s="65"/>
    </row>
    <row r="1194">
      <c r="A1194" s="65"/>
      <c r="B1194" s="65"/>
      <c r="C1194" s="65"/>
      <c r="D1194" s="65"/>
      <c r="E1194" s="65"/>
      <c r="F1194" s="65"/>
      <c r="G1194" s="65"/>
    </row>
    <row r="1195">
      <c r="A1195" s="65"/>
      <c r="B1195" s="65"/>
      <c r="C1195" s="65"/>
      <c r="D1195" s="65"/>
      <c r="E1195" s="65"/>
      <c r="F1195" s="65"/>
      <c r="G1195" s="65"/>
    </row>
    <row r="1196">
      <c r="A1196" s="65"/>
      <c r="B1196" s="65"/>
      <c r="C1196" s="65"/>
      <c r="D1196" s="65"/>
      <c r="E1196" s="65"/>
      <c r="F1196" s="65"/>
      <c r="G1196" s="65"/>
    </row>
    <row r="1197">
      <c r="A1197" s="65"/>
      <c r="B1197" s="65"/>
      <c r="C1197" s="65"/>
      <c r="D1197" s="65"/>
      <c r="E1197" s="65"/>
      <c r="F1197" s="65"/>
      <c r="G1197" s="65"/>
    </row>
    <row r="1198">
      <c r="A1198" s="65"/>
      <c r="B1198" s="65"/>
      <c r="C1198" s="65"/>
      <c r="D1198" s="65"/>
      <c r="E1198" s="65"/>
      <c r="F1198" s="65"/>
      <c r="G1198" s="65"/>
    </row>
    <row r="1199">
      <c r="A1199" s="65"/>
      <c r="B1199" s="65"/>
      <c r="C1199" s="65"/>
      <c r="D1199" s="65"/>
      <c r="E1199" s="65"/>
      <c r="F1199" s="65"/>
      <c r="G1199" s="65"/>
    </row>
    <row r="1200">
      <c r="A1200" s="65"/>
      <c r="B1200" s="65"/>
      <c r="C1200" s="65"/>
      <c r="D1200" s="65"/>
      <c r="E1200" s="65"/>
      <c r="F1200" s="65"/>
      <c r="G1200" s="65"/>
    </row>
    <row r="1201">
      <c r="A1201" s="65"/>
      <c r="B1201" s="65"/>
      <c r="C1201" s="65"/>
      <c r="D1201" s="65"/>
      <c r="E1201" s="65"/>
      <c r="F1201" s="65"/>
      <c r="G1201" s="65"/>
    </row>
    <row r="1202">
      <c r="A1202" s="65"/>
      <c r="B1202" s="65"/>
      <c r="C1202" s="65"/>
      <c r="D1202" s="65"/>
      <c r="E1202" s="65"/>
      <c r="F1202" s="65"/>
      <c r="G1202" s="65"/>
    </row>
    <row r="1203">
      <c r="A1203" s="65"/>
      <c r="B1203" s="65"/>
      <c r="C1203" s="65"/>
      <c r="D1203" s="65"/>
      <c r="E1203" s="65"/>
      <c r="F1203" s="65"/>
      <c r="G1203" s="65"/>
    </row>
    <row r="1204">
      <c r="A1204" s="65"/>
      <c r="B1204" s="65"/>
      <c r="C1204" s="65"/>
      <c r="D1204" s="65"/>
      <c r="E1204" s="65"/>
      <c r="F1204" s="65"/>
      <c r="G1204" s="65"/>
    </row>
    <row r="1205">
      <c r="A1205" s="65"/>
      <c r="B1205" s="65"/>
      <c r="C1205" s="65"/>
      <c r="D1205" s="65"/>
      <c r="E1205" s="65"/>
      <c r="F1205" s="65"/>
      <c r="G1205" s="65"/>
    </row>
    <row r="1206">
      <c r="A1206" s="65"/>
      <c r="B1206" s="65"/>
      <c r="C1206" s="65"/>
      <c r="D1206" s="65"/>
      <c r="E1206" s="65"/>
      <c r="F1206" s="65"/>
      <c r="G1206" s="65"/>
    </row>
    <row r="1207">
      <c r="A1207" s="65"/>
      <c r="B1207" s="65"/>
      <c r="C1207" s="65"/>
      <c r="D1207" s="65"/>
      <c r="E1207" s="65"/>
      <c r="F1207" s="65"/>
      <c r="G1207" s="65"/>
    </row>
    <row r="1208">
      <c r="A1208" s="65"/>
      <c r="B1208" s="65"/>
      <c r="C1208" s="65"/>
      <c r="D1208" s="65"/>
      <c r="E1208" s="65"/>
      <c r="F1208" s="65"/>
      <c r="G1208" s="65"/>
    </row>
    <row r="1209">
      <c r="A1209" s="65"/>
      <c r="B1209" s="65"/>
      <c r="C1209" s="65"/>
      <c r="D1209" s="65"/>
      <c r="E1209" s="65"/>
      <c r="F1209" s="65"/>
      <c r="G1209" s="65"/>
    </row>
    <row r="1210">
      <c r="A1210" s="65"/>
      <c r="B1210" s="65"/>
      <c r="C1210" s="65"/>
      <c r="D1210" s="65"/>
      <c r="E1210" s="65"/>
      <c r="F1210" s="65"/>
      <c r="G1210" s="65"/>
    </row>
    <row r="1211">
      <c r="A1211" s="65"/>
      <c r="B1211" s="65"/>
      <c r="C1211" s="65"/>
      <c r="D1211" s="65"/>
      <c r="E1211" s="65"/>
      <c r="F1211" s="65"/>
      <c r="G1211" s="65"/>
    </row>
    <row r="1212">
      <c r="A1212" s="65"/>
      <c r="B1212" s="65"/>
      <c r="C1212" s="65"/>
      <c r="D1212" s="65"/>
      <c r="E1212" s="65"/>
      <c r="F1212" s="65"/>
      <c r="G1212" s="65"/>
    </row>
    <row r="1213">
      <c r="A1213" s="65"/>
      <c r="B1213" s="65"/>
      <c r="C1213" s="65"/>
      <c r="D1213" s="65"/>
      <c r="E1213" s="65"/>
      <c r="F1213" s="65"/>
      <c r="G1213" s="65"/>
    </row>
    <row r="1214">
      <c r="A1214" s="65"/>
      <c r="B1214" s="65"/>
      <c r="C1214" s="65"/>
      <c r="D1214" s="65"/>
      <c r="E1214" s="65"/>
      <c r="F1214" s="65"/>
      <c r="G1214" s="65"/>
    </row>
    <row r="1215">
      <c r="A1215" s="65"/>
      <c r="B1215" s="65"/>
      <c r="C1215" s="65"/>
      <c r="D1215" s="65"/>
      <c r="E1215" s="65"/>
      <c r="F1215" s="65"/>
      <c r="G1215" s="65"/>
    </row>
    <row r="1216">
      <c r="A1216" s="65"/>
      <c r="B1216" s="65"/>
      <c r="C1216" s="65"/>
      <c r="D1216" s="65"/>
      <c r="E1216" s="65"/>
      <c r="F1216" s="65"/>
      <c r="G1216" s="65"/>
    </row>
    <row r="1217">
      <c r="A1217" s="65"/>
      <c r="B1217" s="65"/>
      <c r="C1217" s="65"/>
      <c r="D1217" s="65"/>
      <c r="E1217" s="65"/>
      <c r="F1217" s="65"/>
      <c r="G1217" s="65"/>
    </row>
    <row r="1218">
      <c r="A1218" s="65"/>
      <c r="B1218" s="65"/>
      <c r="C1218" s="65"/>
      <c r="D1218" s="65"/>
      <c r="E1218" s="65"/>
      <c r="F1218" s="65"/>
      <c r="G1218" s="65"/>
    </row>
    <row r="1219">
      <c r="A1219" s="65"/>
      <c r="B1219" s="65"/>
      <c r="C1219" s="65"/>
      <c r="D1219" s="65"/>
      <c r="E1219" s="65"/>
      <c r="F1219" s="65"/>
      <c r="G1219" s="65"/>
    </row>
    <row r="1220">
      <c r="A1220" s="65"/>
      <c r="B1220" s="65"/>
      <c r="C1220" s="65"/>
      <c r="D1220" s="65"/>
      <c r="E1220" s="65"/>
      <c r="F1220" s="65"/>
      <c r="G1220" s="65"/>
    </row>
    <row r="1221">
      <c r="A1221" s="65"/>
      <c r="B1221" s="65"/>
      <c r="C1221" s="65"/>
      <c r="D1221" s="65"/>
      <c r="E1221" s="65"/>
      <c r="F1221" s="65"/>
      <c r="G1221" s="65"/>
    </row>
    <row r="1222">
      <c r="A1222" s="65"/>
      <c r="B1222" s="65"/>
      <c r="C1222" s="65"/>
      <c r="D1222" s="65"/>
      <c r="E1222" s="65"/>
      <c r="F1222" s="65"/>
      <c r="G1222" s="65"/>
    </row>
    <row r="1223">
      <c r="A1223" s="65"/>
      <c r="B1223" s="65"/>
      <c r="C1223" s="65"/>
      <c r="D1223" s="65"/>
      <c r="E1223" s="65"/>
      <c r="F1223" s="65"/>
      <c r="G1223" s="65"/>
    </row>
    <row r="1224">
      <c r="A1224" s="65"/>
      <c r="B1224" s="65"/>
      <c r="C1224" s="65"/>
      <c r="D1224" s="65"/>
      <c r="E1224" s="65"/>
      <c r="F1224" s="65"/>
      <c r="G1224" s="65"/>
    </row>
    <row r="1225">
      <c r="A1225" s="65"/>
      <c r="B1225" s="65"/>
      <c r="C1225" s="65"/>
      <c r="D1225" s="65"/>
      <c r="E1225" s="65"/>
      <c r="F1225" s="65"/>
      <c r="G1225" s="65"/>
    </row>
    <row r="1226">
      <c r="A1226" s="65"/>
      <c r="B1226" s="65"/>
      <c r="C1226" s="65"/>
      <c r="D1226" s="65"/>
      <c r="E1226" s="65"/>
      <c r="F1226" s="65"/>
      <c r="G1226" s="65"/>
    </row>
    <row r="1227">
      <c r="A1227" s="65"/>
      <c r="B1227" s="65"/>
      <c r="C1227" s="65"/>
      <c r="D1227" s="65"/>
      <c r="E1227" s="65"/>
      <c r="F1227" s="65"/>
      <c r="G1227" s="65"/>
    </row>
    <row r="1228">
      <c r="A1228" s="65"/>
      <c r="B1228" s="65"/>
      <c r="C1228" s="65"/>
      <c r="D1228" s="65"/>
      <c r="E1228" s="65"/>
      <c r="F1228" s="65"/>
      <c r="G1228" s="65"/>
    </row>
    <row r="1229">
      <c r="A1229" s="65"/>
      <c r="B1229" s="65"/>
      <c r="C1229" s="65"/>
      <c r="D1229" s="65"/>
      <c r="E1229" s="65"/>
      <c r="F1229" s="65"/>
      <c r="G1229" s="65"/>
    </row>
    <row r="1230">
      <c r="A1230" s="65"/>
      <c r="B1230" s="65"/>
      <c r="C1230" s="65"/>
      <c r="D1230" s="65"/>
      <c r="E1230" s="65"/>
      <c r="F1230" s="65"/>
      <c r="G1230" s="65"/>
    </row>
    <row r="1231">
      <c r="A1231" s="65"/>
      <c r="B1231" s="65"/>
      <c r="C1231" s="65"/>
      <c r="D1231" s="65"/>
      <c r="E1231" s="65"/>
      <c r="F1231" s="65"/>
      <c r="G1231" s="65"/>
    </row>
    <row r="1232">
      <c r="A1232" s="65"/>
      <c r="B1232" s="65"/>
      <c r="C1232" s="65"/>
      <c r="D1232" s="65"/>
      <c r="E1232" s="65"/>
      <c r="F1232" s="65"/>
      <c r="G1232" s="65"/>
    </row>
    <row r="1233">
      <c r="A1233" s="65"/>
      <c r="B1233" s="65"/>
      <c r="C1233" s="65"/>
      <c r="D1233" s="65"/>
      <c r="E1233" s="65"/>
      <c r="F1233" s="65"/>
      <c r="G1233" s="65"/>
    </row>
    <row r="1234">
      <c r="A1234" s="65"/>
      <c r="B1234" s="65"/>
      <c r="C1234" s="65"/>
      <c r="D1234" s="65"/>
      <c r="E1234" s="65"/>
      <c r="F1234" s="65"/>
      <c r="G1234" s="65"/>
    </row>
    <row r="1235">
      <c r="A1235" s="65"/>
      <c r="B1235" s="65"/>
      <c r="C1235" s="65"/>
      <c r="D1235" s="65"/>
      <c r="E1235" s="65"/>
      <c r="F1235" s="65"/>
      <c r="G1235" s="65"/>
    </row>
    <row r="1236">
      <c r="A1236" s="65"/>
      <c r="B1236" s="65"/>
      <c r="C1236" s="65"/>
      <c r="D1236" s="65"/>
      <c r="E1236" s="65"/>
      <c r="F1236" s="65"/>
      <c r="G1236" s="65"/>
    </row>
    <row r="1237">
      <c r="A1237" s="65"/>
      <c r="B1237" s="65"/>
      <c r="C1237" s="65"/>
      <c r="D1237" s="65"/>
      <c r="E1237" s="65"/>
      <c r="F1237" s="65"/>
      <c r="G1237" s="65"/>
    </row>
    <row r="1238">
      <c r="A1238" s="65"/>
      <c r="B1238" s="65"/>
      <c r="C1238" s="65"/>
      <c r="D1238" s="65"/>
      <c r="E1238" s="65"/>
      <c r="F1238" s="65"/>
      <c r="G1238" s="65"/>
    </row>
    <row r="1239">
      <c r="A1239" s="65"/>
      <c r="B1239" s="65"/>
      <c r="C1239" s="65"/>
      <c r="D1239" s="65"/>
      <c r="E1239" s="65"/>
      <c r="F1239" s="65"/>
      <c r="G1239" s="65"/>
    </row>
    <row r="1240">
      <c r="A1240" s="65"/>
      <c r="B1240" s="65"/>
      <c r="C1240" s="65"/>
      <c r="D1240" s="65"/>
      <c r="E1240" s="65"/>
      <c r="F1240" s="65"/>
      <c r="G1240" s="65"/>
    </row>
    <row r="1241">
      <c r="A1241" s="65"/>
      <c r="B1241" s="65"/>
      <c r="C1241" s="65"/>
      <c r="D1241" s="65"/>
      <c r="E1241" s="65"/>
      <c r="F1241" s="65"/>
      <c r="G1241" s="65"/>
    </row>
    <row r="1242">
      <c r="A1242" s="65"/>
      <c r="B1242" s="65"/>
      <c r="C1242" s="65"/>
      <c r="D1242" s="65"/>
      <c r="E1242" s="65"/>
      <c r="F1242" s="65"/>
      <c r="G1242" s="65"/>
    </row>
    <row r="1243">
      <c r="A1243" s="65"/>
      <c r="B1243" s="65"/>
      <c r="C1243" s="65"/>
      <c r="D1243" s="65"/>
      <c r="E1243" s="65"/>
      <c r="F1243" s="65"/>
      <c r="G1243" s="65"/>
    </row>
    <row r="1244">
      <c r="A1244" s="65"/>
      <c r="B1244" s="65"/>
      <c r="C1244" s="65"/>
      <c r="D1244" s="65"/>
      <c r="E1244" s="65"/>
      <c r="F1244" s="65"/>
      <c r="G1244" s="65"/>
    </row>
    <row r="1245">
      <c r="A1245" s="65"/>
      <c r="B1245" s="65"/>
      <c r="C1245" s="65"/>
      <c r="D1245" s="65"/>
      <c r="E1245" s="65"/>
      <c r="F1245" s="65"/>
      <c r="G1245" s="65"/>
    </row>
    <row r="1246">
      <c r="A1246" s="65"/>
      <c r="B1246" s="65"/>
      <c r="C1246" s="65"/>
      <c r="D1246" s="65"/>
      <c r="E1246" s="65"/>
      <c r="F1246" s="65"/>
      <c r="G1246" s="65"/>
    </row>
    <row r="1247">
      <c r="A1247" s="65"/>
      <c r="B1247" s="65"/>
      <c r="C1247" s="65"/>
      <c r="D1247" s="65"/>
      <c r="E1247" s="65"/>
      <c r="F1247" s="65"/>
      <c r="G1247" s="65"/>
    </row>
    <row r="1248">
      <c r="A1248" s="65"/>
      <c r="B1248" s="65"/>
      <c r="C1248" s="65"/>
      <c r="D1248" s="65"/>
      <c r="E1248" s="65"/>
      <c r="F1248" s="65"/>
      <c r="G1248" s="65"/>
    </row>
    <row r="1249">
      <c r="A1249" s="65"/>
      <c r="B1249" s="65"/>
      <c r="C1249" s="65"/>
      <c r="D1249" s="65"/>
      <c r="E1249" s="65"/>
      <c r="F1249" s="65"/>
      <c r="G1249" s="65"/>
    </row>
    <row r="1250">
      <c r="A1250" s="65"/>
      <c r="B1250" s="65"/>
      <c r="C1250" s="65"/>
      <c r="D1250" s="65"/>
      <c r="E1250" s="65"/>
      <c r="F1250" s="65"/>
      <c r="G1250" s="65"/>
    </row>
    <row r="1251">
      <c r="A1251" s="65"/>
      <c r="B1251" s="65"/>
      <c r="C1251" s="65"/>
      <c r="D1251" s="65"/>
      <c r="E1251" s="65"/>
      <c r="F1251" s="65"/>
      <c r="G1251" s="65"/>
    </row>
    <row r="1252">
      <c r="A1252" s="65"/>
      <c r="B1252" s="65"/>
      <c r="C1252" s="65"/>
      <c r="D1252" s="65"/>
      <c r="E1252" s="65"/>
      <c r="F1252" s="65"/>
      <c r="G1252" s="65"/>
    </row>
    <row r="1253">
      <c r="A1253" s="65"/>
      <c r="B1253" s="65"/>
      <c r="C1253" s="65"/>
      <c r="D1253" s="65"/>
      <c r="E1253" s="65"/>
      <c r="F1253" s="65"/>
      <c r="G1253" s="65"/>
    </row>
    <row r="1254">
      <c r="A1254" s="65"/>
      <c r="B1254" s="65"/>
      <c r="C1254" s="65"/>
      <c r="D1254" s="65"/>
      <c r="E1254" s="65"/>
      <c r="F1254" s="65"/>
      <c r="G1254" s="65"/>
    </row>
    <row r="1255">
      <c r="A1255" s="65"/>
      <c r="B1255" s="65"/>
      <c r="C1255" s="65"/>
      <c r="D1255" s="65"/>
      <c r="E1255" s="65"/>
      <c r="F1255" s="65"/>
      <c r="G1255" s="65"/>
    </row>
    <row r="1256">
      <c r="A1256" s="65"/>
      <c r="B1256" s="65"/>
      <c r="C1256" s="65"/>
      <c r="D1256" s="65"/>
      <c r="E1256" s="65"/>
      <c r="F1256" s="65"/>
      <c r="G1256" s="65"/>
    </row>
    <row r="1257">
      <c r="A1257" s="65"/>
      <c r="B1257" s="65"/>
      <c r="C1257" s="65"/>
      <c r="D1257" s="65"/>
      <c r="E1257" s="65"/>
      <c r="F1257" s="65"/>
      <c r="G1257" s="65"/>
    </row>
    <row r="1258">
      <c r="A1258" s="65"/>
      <c r="B1258" s="65"/>
      <c r="C1258" s="65"/>
      <c r="D1258" s="65"/>
      <c r="E1258" s="65"/>
      <c r="F1258" s="65"/>
      <c r="G1258" s="65"/>
    </row>
    <row r="1259">
      <c r="A1259" s="65"/>
      <c r="B1259" s="65"/>
      <c r="C1259" s="65"/>
      <c r="D1259" s="65"/>
      <c r="E1259" s="65"/>
      <c r="F1259" s="65"/>
      <c r="G1259" s="65"/>
    </row>
    <row r="1260">
      <c r="A1260" s="65"/>
      <c r="B1260" s="65"/>
      <c r="C1260" s="65"/>
      <c r="D1260" s="65"/>
      <c r="E1260" s="65"/>
      <c r="F1260" s="65"/>
      <c r="G1260" s="65"/>
    </row>
    <row r="1261">
      <c r="A1261" s="65"/>
      <c r="B1261" s="65"/>
      <c r="C1261" s="65"/>
      <c r="D1261" s="65"/>
      <c r="E1261" s="65"/>
      <c r="F1261" s="65"/>
      <c r="G1261" s="65"/>
    </row>
    <row r="1262">
      <c r="A1262" s="65"/>
      <c r="B1262" s="65"/>
      <c r="C1262" s="65"/>
      <c r="D1262" s="65"/>
      <c r="E1262" s="65"/>
      <c r="F1262" s="65"/>
      <c r="G1262" s="65"/>
    </row>
    <row r="1263">
      <c r="A1263" s="65"/>
      <c r="B1263" s="65"/>
      <c r="C1263" s="65"/>
      <c r="D1263" s="65"/>
      <c r="E1263" s="65"/>
      <c r="F1263" s="65"/>
      <c r="G1263" s="65"/>
    </row>
    <row r="1264">
      <c r="A1264" s="65"/>
      <c r="B1264" s="65"/>
      <c r="C1264" s="65"/>
      <c r="D1264" s="65"/>
      <c r="E1264" s="65"/>
      <c r="F1264" s="65"/>
      <c r="G1264" s="65"/>
    </row>
    <row r="1265">
      <c r="A1265" s="65"/>
      <c r="B1265" s="65"/>
      <c r="C1265" s="65"/>
      <c r="D1265" s="65"/>
      <c r="E1265" s="65"/>
      <c r="F1265" s="65"/>
      <c r="G1265" s="65"/>
    </row>
    <row r="1266">
      <c r="A1266" s="65"/>
      <c r="B1266" s="65"/>
      <c r="C1266" s="65"/>
      <c r="D1266" s="65"/>
      <c r="E1266" s="65"/>
      <c r="F1266" s="65"/>
      <c r="G1266" s="65"/>
    </row>
    <row r="1267">
      <c r="A1267" s="65"/>
      <c r="B1267" s="65"/>
      <c r="C1267" s="65"/>
      <c r="D1267" s="65"/>
      <c r="E1267" s="65"/>
      <c r="F1267" s="65"/>
      <c r="G1267" s="65"/>
    </row>
    <row r="1268">
      <c r="A1268" s="65"/>
      <c r="B1268" s="65"/>
      <c r="C1268" s="65"/>
      <c r="D1268" s="65"/>
      <c r="E1268" s="65"/>
      <c r="F1268" s="65"/>
      <c r="G1268" s="65"/>
    </row>
    <row r="1269">
      <c r="A1269" s="65"/>
      <c r="B1269" s="65"/>
      <c r="C1269" s="65"/>
      <c r="D1269" s="65"/>
      <c r="E1269" s="65"/>
      <c r="F1269" s="65"/>
      <c r="G1269" s="65"/>
    </row>
    <row r="1270">
      <c r="A1270" s="65"/>
      <c r="B1270" s="65"/>
      <c r="C1270" s="65"/>
      <c r="D1270" s="65"/>
      <c r="E1270" s="65"/>
      <c r="F1270" s="65"/>
      <c r="G1270" s="65"/>
    </row>
    <row r="1271">
      <c r="A1271" s="65"/>
      <c r="B1271" s="65"/>
      <c r="C1271" s="65"/>
      <c r="D1271" s="65"/>
      <c r="E1271" s="65"/>
      <c r="F1271" s="65"/>
      <c r="G1271" s="65"/>
    </row>
    <row r="1272">
      <c r="A1272" s="65"/>
      <c r="B1272" s="65"/>
      <c r="C1272" s="65"/>
      <c r="D1272" s="65"/>
      <c r="E1272" s="65"/>
      <c r="F1272" s="65"/>
      <c r="G1272" s="65"/>
    </row>
    <row r="1273">
      <c r="A1273" s="65"/>
      <c r="B1273" s="65"/>
      <c r="C1273" s="65"/>
      <c r="D1273" s="65"/>
      <c r="E1273" s="65"/>
      <c r="F1273" s="65"/>
      <c r="G1273" s="65"/>
    </row>
    <row r="1274">
      <c r="A1274" s="65"/>
      <c r="B1274" s="65"/>
      <c r="C1274" s="65"/>
      <c r="D1274" s="65"/>
      <c r="E1274" s="65"/>
      <c r="F1274" s="65"/>
      <c r="G1274" s="65"/>
    </row>
    <row r="1275">
      <c r="A1275" s="65"/>
      <c r="B1275" s="65"/>
      <c r="C1275" s="65"/>
      <c r="D1275" s="65"/>
      <c r="E1275" s="65"/>
      <c r="F1275" s="65"/>
      <c r="G1275" s="65"/>
    </row>
    <row r="1276">
      <c r="A1276" s="65"/>
      <c r="B1276" s="65"/>
      <c r="C1276" s="65"/>
      <c r="D1276" s="65"/>
      <c r="E1276" s="65"/>
      <c r="F1276" s="65"/>
      <c r="G1276" s="65"/>
    </row>
    <row r="1277">
      <c r="A1277" s="65"/>
      <c r="B1277" s="65"/>
      <c r="C1277" s="65"/>
      <c r="D1277" s="65"/>
      <c r="E1277" s="65"/>
      <c r="F1277" s="65"/>
      <c r="G1277" s="65"/>
    </row>
    <row r="1278">
      <c r="A1278" s="65"/>
      <c r="B1278" s="65"/>
      <c r="C1278" s="65"/>
      <c r="D1278" s="65"/>
      <c r="E1278" s="65"/>
      <c r="F1278" s="65"/>
      <c r="G1278" s="65"/>
    </row>
    <row r="1279">
      <c r="A1279" s="65"/>
      <c r="B1279" s="65"/>
      <c r="C1279" s="65"/>
      <c r="D1279" s="65"/>
      <c r="E1279" s="65"/>
      <c r="F1279" s="65"/>
      <c r="G1279" s="65"/>
    </row>
    <row r="1280">
      <c r="A1280" s="65"/>
      <c r="B1280" s="65"/>
      <c r="C1280" s="65"/>
      <c r="D1280" s="65"/>
      <c r="E1280" s="65"/>
      <c r="F1280" s="65"/>
      <c r="G1280" s="65"/>
    </row>
    <row r="1281">
      <c r="A1281" s="65"/>
      <c r="B1281" s="65"/>
      <c r="C1281" s="65"/>
      <c r="D1281" s="65"/>
      <c r="E1281" s="65"/>
      <c r="F1281" s="65"/>
      <c r="G1281" s="65"/>
    </row>
    <row r="1282">
      <c r="A1282" s="65"/>
      <c r="B1282" s="65"/>
      <c r="C1282" s="65"/>
      <c r="D1282" s="65"/>
      <c r="E1282" s="65"/>
      <c r="F1282" s="65"/>
      <c r="G1282" s="65"/>
    </row>
    <row r="1283">
      <c r="A1283" s="65"/>
      <c r="B1283" s="65"/>
      <c r="C1283" s="65"/>
      <c r="D1283" s="65"/>
      <c r="E1283" s="65"/>
      <c r="F1283" s="65"/>
      <c r="G1283" s="65"/>
    </row>
    <row r="1284">
      <c r="A1284" s="65"/>
      <c r="B1284" s="65"/>
      <c r="C1284" s="65"/>
      <c r="D1284" s="65"/>
      <c r="E1284" s="65"/>
      <c r="F1284" s="65"/>
      <c r="G1284" s="65"/>
    </row>
    <row r="1285">
      <c r="A1285" s="65"/>
      <c r="B1285" s="65"/>
      <c r="C1285" s="65"/>
      <c r="D1285" s="65"/>
      <c r="E1285" s="65"/>
      <c r="F1285" s="65"/>
      <c r="G1285" s="65"/>
    </row>
    <row r="1286">
      <c r="A1286" s="65"/>
      <c r="B1286" s="65"/>
      <c r="C1286" s="65"/>
      <c r="D1286" s="65"/>
      <c r="E1286" s="65"/>
      <c r="F1286" s="65"/>
      <c r="G1286" s="65"/>
    </row>
    <row r="1287">
      <c r="A1287" s="65"/>
      <c r="B1287" s="65"/>
      <c r="C1287" s="65"/>
      <c r="D1287" s="65"/>
      <c r="E1287" s="65"/>
      <c r="F1287" s="65"/>
      <c r="G1287" s="65"/>
    </row>
    <row r="1288">
      <c r="A1288" s="65"/>
      <c r="B1288" s="65"/>
      <c r="C1288" s="65"/>
      <c r="D1288" s="65"/>
      <c r="E1288" s="65"/>
      <c r="F1288" s="65"/>
      <c r="G1288" s="65"/>
    </row>
    <row r="1289">
      <c r="A1289" s="65"/>
      <c r="B1289" s="65"/>
      <c r="C1289" s="65"/>
      <c r="D1289" s="65"/>
      <c r="E1289" s="65"/>
      <c r="F1289" s="65"/>
      <c r="G1289" s="65"/>
    </row>
    <row r="1290">
      <c r="A1290" s="65"/>
      <c r="B1290" s="65"/>
      <c r="C1290" s="65"/>
      <c r="D1290" s="65"/>
      <c r="E1290" s="65"/>
      <c r="F1290" s="65"/>
      <c r="G1290" s="65"/>
    </row>
    <row r="1291">
      <c r="A1291" s="65"/>
      <c r="B1291" s="65"/>
      <c r="C1291" s="65"/>
      <c r="D1291" s="65"/>
      <c r="E1291" s="65"/>
      <c r="F1291" s="65"/>
      <c r="G1291" s="65"/>
    </row>
    <row r="1292">
      <c r="A1292" s="65"/>
      <c r="B1292" s="65"/>
      <c r="C1292" s="65"/>
      <c r="D1292" s="65"/>
      <c r="E1292" s="65"/>
      <c r="F1292" s="65"/>
      <c r="G1292" s="65"/>
    </row>
    <row r="1293">
      <c r="A1293" s="65"/>
      <c r="B1293" s="65"/>
      <c r="C1293" s="65"/>
      <c r="D1293" s="65"/>
      <c r="E1293" s="65"/>
      <c r="F1293" s="65"/>
      <c r="G1293" s="65"/>
    </row>
    <row r="1294">
      <c r="A1294" s="65"/>
      <c r="B1294" s="65"/>
      <c r="C1294" s="65"/>
      <c r="D1294" s="65"/>
      <c r="E1294" s="65"/>
      <c r="F1294" s="65"/>
      <c r="G1294" s="65"/>
    </row>
    <row r="1295">
      <c r="A1295" s="65"/>
      <c r="B1295" s="65"/>
      <c r="C1295" s="65"/>
      <c r="D1295" s="65"/>
      <c r="E1295" s="65"/>
      <c r="F1295" s="65"/>
      <c r="G1295" s="65"/>
    </row>
    <row r="1296">
      <c r="A1296" s="65"/>
      <c r="B1296" s="65"/>
      <c r="C1296" s="65"/>
      <c r="D1296" s="65"/>
      <c r="E1296" s="65"/>
      <c r="F1296" s="65"/>
      <c r="G1296" s="65"/>
    </row>
    <row r="1297">
      <c r="A1297" s="65"/>
      <c r="B1297" s="65"/>
      <c r="C1297" s="65"/>
      <c r="D1297" s="65"/>
      <c r="E1297" s="65"/>
      <c r="F1297" s="65"/>
      <c r="G1297" s="65"/>
    </row>
    <row r="1298">
      <c r="A1298" s="65"/>
      <c r="B1298" s="65"/>
      <c r="C1298" s="65"/>
      <c r="D1298" s="65"/>
      <c r="E1298" s="65"/>
      <c r="F1298" s="65"/>
      <c r="G1298" s="65"/>
    </row>
    <row r="1299">
      <c r="A1299" s="65"/>
      <c r="B1299" s="65"/>
      <c r="C1299" s="65"/>
      <c r="D1299" s="65"/>
      <c r="E1299" s="65"/>
      <c r="F1299" s="65"/>
      <c r="G1299" s="65"/>
    </row>
    <row r="1300">
      <c r="A1300" s="65"/>
      <c r="B1300" s="65"/>
      <c r="C1300" s="65"/>
      <c r="D1300" s="65"/>
      <c r="E1300" s="65"/>
      <c r="F1300" s="65"/>
      <c r="G1300" s="65"/>
    </row>
    <row r="1301">
      <c r="A1301" s="65"/>
      <c r="B1301" s="65"/>
      <c r="C1301" s="65"/>
      <c r="D1301" s="65"/>
      <c r="E1301" s="65"/>
      <c r="F1301" s="65"/>
      <c r="G1301" s="65"/>
    </row>
    <row r="1302">
      <c r="A1302" s="65"/>
      <c r="B1302" s="65"/>
      <c r="C1302" s="65"/>
      <c r="D1302" s="65"/>
      <c r="E1302" s="65"/>
      <c r="F1302" s="65"/>
      <c r="G1302" s="65"/>
    </row>
    <row r="1303">
      <c r="A1303" s="65"/>
      <c r="B1303" s="65"/>
      <c r="C1303" s="65"/>
      <c r="D1303" s="65"/>
      <c r="E1303" s="65"/>
      <c r="F1303" s="65"/>
      <c r="G1303" s="65"/>
    </row>
    <row r="1304">
      <c r="A1304" s="65"/>
      <c r="B1304" s="65"/>
      <c r="C1304" s="65"/>
      <c r="D1304" s="65"/>
      <c r="E1304" s="65"/>
      <c r="F1304" s="65"/>
      <c r="G1304" s="65"/>
    </row>
    <row r="1305">
      <c r="A1305" s="65"/>
      <c r="B1305" s="65"/>
      <c r="C1305" s="65"/>
      <c r="D1305" s="65"/>
      <c r="E1305" s="65"/>
      <c r="F1305" s="65"/>
      <c r="G1305" s="65"/>
    </row>
    <row r="1306">
      <c r="A1306" s="65"/>
      <c r="B1306" s="65"/>
      <c r="C1306" s="65"/>
      <c r="D1306" s="65"/>
      <c r="E1306" s="65"/>
      <c r="F1306" s="65"/>
      <c r="G1306" s="65"/>
    </row>
    <row r="1307">
      <c r="A1307" s="65"/>
      <c r="B1307" s="65"/>
      <c r="C1307" s="65"/>
      <c r="D1307" s="65"/>
      <c r="E1307" s="65"/>
      <c r="F1307" s="65"/>
      <c r="G1307" s="65"/>
    </row>
    <row r="1308">
      <c r="A1308" s="65"/>
      <c r="B1308" s="65"/>
      <c r="C1308" s="65"/>
      <c r="D1308" s="65"/>
      <c r="E1308" s="65"/>
      <c r="F1308" s="65"/>
      <c r="G1308" s="65"/>
    </row>
    <row r="1309">
      <c r="A1309" s="65"/>
      <c r="B1309" s="65"/>
      <c r="C1309" s="65"/>
      <c r="D1309" s="65"/>
      <c r="E1309" s="65"/>
      <c r="F1309" s="65"/>
      <c r="G1309" s="65"/>
    </row>
    <row r="1310">
      <c r="A1310" s="65"/>
      <c r="B1310" s="65"/>
      <c r="C1310" s="65"/>
      <c r="D1310" s="65"/>
      <c r="E1310" s="65"/>
      <c r="F1310" s="65"/>
      <c r="G1310" s="65"/>
    </row>
    <row r="1311">
      <c r="A1311" s="65"/>
      <c r="B1311" s="65"/>
      <c r="C1311" s="65"/>
      <c r="D1311" s="65"/>
      <c r="E1311" s="65"/>
      <c r="F1311" s="65"/>
      <c r="G1311" s="65"/>
    </row>
    <row r="1312">
      <c r="A1312" s="65"/>
      <c r="B1312" s="65"/>
      <c r="C1312" s="65"/>
      <c r="D1312" s="65"/>
      <c r="E1312" s="65"/>
      <c r="F1312" s="65"/>
      <c r="G1312" s="65"/>
    </row>
    <row r="1313">
      <c r="A1313" s="65"/>
      <c r="B1313" s="65"/>
      <c r="C1313" s="65"/>
      <c r="D1313" s="65"/>
      <c r="E1313" s="65"/>
      <c r="F1313" s="65"/>
      <c r="G1313" s="65"/>
    </row>
    <row r="1314">
      <c r="A1314" s="65"/>
      <c r="B1314" s="65"/>
      <c r="C1314" s="65"/>
      <c r="D1314" s="65"/>
      <c r="E1314" s="65"/>
      <c r="F1314" s="65"/>
      <c r="G1314" s="65"/>
    </row>
    <row r="1315">
      <c r="A1315" s="65"/>
      <c r="B1315" s="65"/>
      <c r="C1315" s="65"/>
      <c r="D1315" s="65"/>
      <c r="E1315" s="65"/>
      <c r="F1315" s="65"/>
      <c r="G1315" s="65"/>
    </row>
    <row r="1316">
      <c r="A1316" s="65"/>
      <c r="B1316" s="65"/>
      <c r="C1316" s="65"/>
      <c r="D1316" s="65"/>
      <c r="E1316" s="65"/>
      <c r="F1316" s="65"/>
      <c r="G1316" s="65"/>
    </row>
    <row r="1317">
      <c r="A1317" s="65"/>
      <c r="B1317" s="65"/>
      <c r="C1317" s="65"/>
      <c r="D1317" s="65"/>
      <c r="E1317" s="65"/>
      <c r="F1317" s="65"/>
      <c r="G1317" s="65"/>
    </row>
    <row r="1318">
      <c r="A1318" s="65"/>
      <c r="B1318" s="65"/>
      <c r="C1318" s="65"/>
      <c r="D1318" s="65"/>
      <c r="E1318" s="65"/>
      <c r="F1318" s="65"/>
      <c r="G1318" s="65"/>
    </row>
    <row r="1319">
      <c r="A1319" s="65"/>
      <c r="B1319" s="65"/>
      <c r="C1319" s="65"/>
      <c r="D1319" s="65"/>
      <c r="E1319" s="65"/>
      <c r="F1319" s="65"/>
      <c r="G1319" s="65"/>
    </row>
    <row r="1320">
      <c r="A1320" s="65"/>
      <c r="B1320" s="65"/>
      <c r="C1320" s="65"/>
      <c r="D1320" s="65"/>
      <c r="E1320" s="65"/>
      <c r="F1320" s="65"/>
      <c r="G1320" s="65"/>
    </row>
    <row r="1321">
      <c r="A1321" s="65"/>
      <c r="B1321" s="65"/>
      <c r="C1321" s="65"/>
      <c r="D1321" s="65"/>
      <c r="E1321" s="65"/>
      <c r="F1321" s="65"/>
      <c r="G1321" s="65"/>
    </row>
    <row r="1322">
      <c r="A1322" s="65"/>
      <c r="B1322" s="65"/>
      <c r="C1322" s="65"/>
      <c r="D1322" s="65"/>
      <c r="E1322" s="65"/>
      <c r="F1322" s="65"/>
      <c r="G1322" s="65"/>
    </row>
    <row r="1323">
      <c r="A1323" s="65"/>
      <c r="B1323" s="65"/>
      <c r="C1323" s="65"/>
      <c r="D1323" s="65"/>
      <c r="E1323" s="65"/>
      <c r="F1323" s="65"/>
      <c r="G1323" s="65"/>
    </row>
    <row r="1324">
      <c r="A1324" s="65"/>
      <c r="B1324" s="65"/>
      <c r="C1324" s="65"/>
      <c r="D1324" s="65"/>
      <c r="E1324" s="65"/>
      <c r="F1324" s="65"/>
      <c r="G1324" s="65"/>
    </row>
    <row r="1325">
      <c r="A1325" s="65"/>
      <c r="B1325" s="65"/>
      <c r="C1325" s="65"/>
      <c r="D1325" s="65"/>
      <c r="E1325" s="65"/>
      <c r="F1325" s="65"/>
      <c r="G1325" s="65"/>
    </row>
    <row r="1326">
      <c r="A1326" s="65"/>
      <c r="B1326" s="65"/>
      <c r="C1326" s="65"/>
      <c r="D1326" s="65"/>
      <c r="E1326" s="65"/>
      <c r="F1326" s="65"/>
      <c r="G1326" s="65"/>
    </row>
    <row r="1327">
      <c r="A1327" s="65"/>
      <c r="B1327" s="65"/>
      <c r="C1327" s="65"/>
      <c r="D1327" s="65"/>
      <c r="E1327" s="65"/>
      <c r="F1327" s="65"/>
      <c r="G1327" s="65"/>
    </row>
    <row r="1328">
      <c r="A1328" s="65"/>
      <c r="B1328" s="65"/>
      <c r="C1328" s="65"/>
      <c r="D1328" s="65"/>
      <c r="E1328" s="65"/>
      <c r="F1328" s="65"/>
      <c r="G1328" s="65"/>
    </row>
    <row r="1329">
      <c r="A1329" s="65"/>
      <c r="B1329" s="65"/>
      <c r="C1329" s="65"/>
      <c r="D1329" s="65"/>
      <c r="E1329" s="65"/>
      <c r="F1329" s="65"/>
      <c r="G1329" s="65"/>
    </row>
    <row r="1330">
      <c r="A1330" s="65"/>
      <c r="B1330" s="65"/>
      <c r="C1330" s="65"/>
      <c r="D1330" s="65"/>
      <c r="E1330" s="65"/>
      <c r="F1330" s="65"/>
      <c r="G1330" s="65"/>
    </row>
    <row r="1331">
      <c r="A1331" s="65"/>
      <c r="B1331" s="65"/>
      <c r="C1331" s="65"/>
      <c r="D1331" s="65"/>
      <c r="E1331" s="65"/>
      <c r="F1331" s="65"/>
      <c r="G1331" s="65"/>
    </row>
    <row r="1332">
      <c r="A1332" s="65"/>
      <c r="B1332" s="65"/>
      <c r="C1332" s="65"/>
      <c r="D1332" s="65"/>
      <c r="E1332" s="65"/>
      <c r="F1332" s="65"/>
      <c r="G1332" s="65"/>
    </row>
    <row r="1333">
      <c r="A1333" s="65"/>
      <c r="B1333" s="65"/>
      <c r="C1333" s="65"/>
      <c r="D1333" s="65"/>
      <c r="E1333" s="65"/>
      <c r="F1333" s="65"/>
      <c r="G1333" s="65"/>
    </row>
    <row r="1334">
      <c r="A1334" s="65"/>
      <c r="B1334" s="65"/>
      <c r="C1334" s="65"/>
      <c r="D1334" s="65"/>
      <c r="E1334" s="65"/>
      <c r="F1334" s="65"/>
      <c r="G1334" s="65"/>
    </row>
    <row r="1335">
      <c r="A1335" s="65"/>
      <c r="B1335" s="65"/>
      <c r="C1335" s="65"/>
      <c r="D1335" s="65"/>
      <c r="E1335" s="65"/>
      <c r="F1335" s="65"/>
      <c r="G1335" s="65"/>
    </row>
    <row r="1336">
      <c r="A1336" s="65"/>
      <c r="B1336" s="65"/>
      <c r="C1336" s="65"/>
      <c r="D1336" s="65"/>
      <c r="E1336" s="65"/>
      <c r="F1336" s="65"/>
      <c r="G1336" s="65"/>
    </row>
    <row r="1337">
      <c r="A1337" s="65"/>
      <c r="B1337" s="65"/>
      <c r="C1337" s="65"/>
      <c r="D1337" s="65"/>
      <c r="E1337" s="65"/>
      <c r="F1337" s="65"/>
      <c r="G1337" s="65"/>
    </row>
    <row r="1338">
      <c r="A1338" s="65"/>
      <c r="B1338" s="65"/>
      <c r="C1338" s="65"/>
      <c r="D1338" s="65"/>
      <c r="E1338" s="65"/>
      <c r="F1338" s="65"/>
      <c r="G1338" s="65"/>
    </row>
    <row r="1339">
      <c r="A1339" s="65"/>
      <c r="B1339" s="65"/>
      <c r="C1339" s="65"/>
      <c r="D1339" s="65"/>
      <c r="E1339" s="65"/>
      <c r="F1339" s="65"/>
      <c r="G1339" s="65"/>
    </row>
    <row r="1340">
      <c r="A1340" s="65"/>
      <c r="B1340" s="65"/>
      <c r="C1340" s="65"/>
      <c r="D1340" s="65"/>
      <c r="E1340" s="65"/>
      <c r="F1340" s="65"/>
      <c r="G1340" s="65"/>
    </row>
    <row r="1341">
      <c r="A1341" s="65"/>
      <c r="B1341" s="65"/>
      <c r="C1341" s="65"/>
      <c r="D1341" s="65"/>
      <c r="E1341" s="65"/>
      <c r="F1341" s="65"/>
      <c r="G1341" s="65"/>
    </row>
    <row r="1342">
      <c r="A1342" s="65"/>
      <c r="B1342" s="65"/>
      <c r="C1342" s="65"/>
      <c r="D1342" s="65"/>
      <c r="E1342" s="65"/>
      <c r="F1342" s="65"/>
      <c r="G1342" s="65"/>
    </row>
    <row r="1343">
      <c r="A1343" s="65"/>
      <c r="B1343" s="65"/>
      <c r="C1343" s="65"/>
      <c r="D1343" s="65"/>
      <c r="E1343" s="65"/>
      <c r="F1343" s="65"/>
      <c r="G1343" s="65"/>
    </row>
    <row r="1344">
      <c r="A1344" s="65"/>
      <c r="B1344" s="65"/>
      <c r="C1344" s="65"/>
      <c r="D1344" s="65"/>
      <c r="E1344" s="65"/>
      <c r="F1344" s="65"/>
      <c r="G1344" s="65"/>
    </row>
    <row r="1345">
      <c r="A1345" s="65"/>
      <c r="B1345" s="65"/>
      <c r="C1345" s="65"/>
      <c r="D1345" s="65"/>
      <c r="E1345" s="65"/>
      <c r="F1345" s="65"/>
      <c r="G1345" s="65"/>
    </row>
    <row r="1346">
      <c r="A1346" s="65"/>
      <c r="B1346" s="65"/>
      <c r="C1346" s="65"/>
      <c r="D1346" s="65"/>
      <c r="E1346" s="65"/>
      <c r="F1346" s="65"/>
      <c r="G1346" s="65"/>
    </row>
    <row r="1347">
      <c r="A1347" s="65"/>
      <c r="B1347" s="65"/>
      <c r="C1347" s="65"/>
      <c r="D1347" s="65"/>
      <c r="E1347" s="65"/>
      <c r="F1347" s="65"/>
      <c r="G1347" s="65"/>
    </row>
    <row r="1348">
      <c r="A1348" s="65"/>
      <c r="B1348" s="65"/>
      <c r="C1348" s="65"/>
      <c r="D1348" s="65"/>
      <c r="E1348" s="65"/>
      <c r="F1348" s="65"/>
      <c r="G1348" s="65"/>
    </row>
    <row r="1349">
      <c r="A1349" s="65"/>
      <c r="B1349" s="65"/>
      <c r="C1349" s="65"/>
      <c r="D1349" s="65"/>
      <c r="E1349" s="65"/>
      <c r="F1349" s="65"/>
      <c r="G1349" s="65"/>
    </row>
    <row r="1350">
      <c r="A1350" s="65"/>
      <c r="B1350" s="65"/>
      <c r="C1350" s="65"/>
      <c r="D1350" s="65"/>
      <c r="E1350" s="65"/>
      <c r="F1350" s="65"/>
      <c r="G1350" s="65"/>
    </row>
    <row r="1351">
      <c r="A1351" s="65"/>
      <c r="B1351" s="65"/>
      <c r="C1351" s="65"/>
      <c r="D1351" s="65"/>
      <c r="E1351" s="65"/>
      <c r="F1351" s="65"/>
      <c r="G1351" s="65"/>
    </row>
    <row r="1352">
      <c r="A1352" s="65"/>
      <c r="B1352" s="65"/>
      <c r="C1352" s="65"/>
      <c r="D1352" s="65"/>
      <c r="E1352" s="65"/>
      <c r="F1352" s="65"/>
      <c r="G1352" s="65"/>
    </row>
    <row r="1353">
      <c r="A1353" s="65"/>
      <c r="B1353" s="65"/>
      <c r="C1353" s="65"/>
      <c r="D1353" s="65"/>
      <c r="E1353" s="65"/>
      <c r="F1353" s="65"/>
      <c r="G1353" s="65"/>
    </row>
    <row r="1354">
      <c r="A1354" s="65"/>
      <c r="B1354" s="65"/>
      <c r="C1354" s="65"/>
      <c r="D1354" s="65"/>
      <c r="E1354" s="65"/>
      <c r="F1354" s="65"/>
      <c r="G1354" s="65"/>
    </row>
    <row r="1355">
      <c r="A1355" s="65"/>
      <c r="B1355" s="65"/>
      <c r="C1355" s="65"/>
      <c r="D1355" s="65"/>
      <c r="E1355" s="65"/>
      <c r="F1355" s="65"/>
      <c r="G1355" s="65"/>
    </row>
    <row r="1356">
      <c r="A1356" s="65"/>
      <c r="B1356" s="65"/>
      <c r="C1356" s="65"/>
      <c r="D1356" s="65"/>
      <c r="E1356" s="65"/>
      <c r="F1356" s="65"/>
      <c r="G1356" s="65"/>
    </row>
    <row r="1357">
      <c r="A1357" s="65"/>
      <c r="B1357" s="65"/>
      <c r="C1357" s="65"/>
      <c r="D1357" s="65"/>
      <c r="E1357" s="65"/>
      <c r="F1357" s="65"/>
      <c r="G1357" s="65"/>
    </row>
    <row r="1358">
      <c r="A1358" s="65"/>
      <c r="B1358" s="65"/>
      <c r="C1358" s="65"/>
      <c r="D1358" s="65"/>
      <c r="E1358" s="65"/>
      <c r="F1358" s="65"/>
      <c r="G1358" s="65"/>
    </row>
    <row r="1359">
      <c r="A1359" s="65"/>
      <c r="B1359" s="65"/>
      <c r="C1359" s="65"/>
      <c r="D1359" s="65"/>
      <c r="E1359" s="65"/>
      <c r="F1359" s="65"/>
      <c r="G1359" s="65"/>
    </row>
    <row r="1360">
      <c r="A1360" s="65"/>
      <c r="B1360" s="65"/>
      <c r="C1360" s="65"/>
      <c r="D1360" s="65"/>
      <c r="E1360" s="65"/>
      <c r="F1360" s="65"/>
      <c r="G1360" s="65"/>
    </row>
    <row r="1361">
      <c r="A1361" s="65"/>
      <c r="B1361" s="65"/>
      <c r="C1361" s="65"/>
      <c r="D1361" s="65"/>
      <c r="E1361" s="65"/>
      <c r="F1361" s="65"/>
      <c r="G1361" s="65"/>
    </row>
    <row r="1362">
      <c r="A1362" s="65"/>
      <c r="B1362" s="65"/>
      <c r="C1362" s="65"/>
      <c r="D1362" s="65"/>
      <c r="E1362" s="65"/>
      <c r="F1362" s="65"/>
      <c r="G1362" s="65"/>
    </row>
    <row r="1363">
      <c r="A1363" s="65"/>
      <c r="B1363" s="65"/>
      <c r="C1363" s="65"/>
      <c r="D1363" s="65"/>
      <c r="E1363" s="65"/>
      <c r="F1363" s="65"/>
      <c r="G1363" s="65"/>
    </row>
    <row r="1364">
      <c r="A1364" s="65"/>
      <c r="B1364" s="65"/>
      <c r="C1364" s="65"/>
      <c r="D1364" s="65"/>
      <c r="E1364" s="65"/>
      <c r="F1364" s="65"/>
      <c r="G1364" s="65"/>
    </row>
    <row r="1365">
      <c r="A1365" s="65"/>
      <c r="B1365" s="65"/>
      <c r="C1365" s="65"/>
      <c r="D1365" s="65"/>
      <c r="E1365" s="65"/>
      <c r="F1365" s="65"/>
      <c r="G1365" s="65"/>
    </row>
    <row r="1366">
      <c r="A1366" s="65"/>
      <c r="B1366" s="65"/>
      <c r="C1366" s="65"/>
      <c r="D1366" s="65"/>
      <c r="E1366" s="65"/>
      <c r="F1366" s="65"/>
      <c r="G1366" s="65"/>
    </row>
    <row r="1367">
      <c r="A1367" s="65"/>
      <c r="B1367" s="65"/>
      <c r="C1367" s="65"/>
      <c r="D1367" s="65"/>
      <c r="E1367" s="65"/>
      <c r="F1367" s="65"/>
      <c r="G1367" s="65"/>
    </row>
    <row r="1368">
      <c r="A1368" s="65"/>
      <c r="B1368" s="65"/>
      <c r="C1368" s="65"/>
      <c r="D1368" s="65"/>
      <c r="E1368" s="65"/>
      <c r="F1368" s="65"/>
      <c r="G1368" s="65"/>
    </row>
    <row r="1369">
      <c r="A1369" s="65"/>
      <c r="B1369" s="65"/>
      <c r="C1369" s="65"/>
      <c r="D1369" s="65"/>
      <c r="E1369" s="65"/>
      <c r="F1369" s="65"/>
      <c r="G1369" s="65"/>
    </row>
    <row r="1370">
      <c r="A1370" s="65"/>
      <c r="B1370" s="65"/>
      <c r="C1370" s="65"/>
      <c r="D1370" s="65"/>
      <c r="E1370" s="65"/>
      <c r="F1370" s="65"/>
      <c r="G1370" s="65"/>
    </row>
    <row r="1371">
      <c r="A1371" s="65"/>
      <c r="B1371" s="65"/>
      <c r="C1371" s="65"/>
      <c r="D1371" s="65"/>
      <c r="E1371" s="65"/>
      <c r="F1371" s="65"/>
      <c r="G1371" s="65"/>
    </row>
    <row r="1372">
      <c r="A1372" s="65"/>
      <c r="B1372" s="65"/>
      <c r="C1372" s="65"/>
      <c r="D1372" s="65"/>
      <c r="E1372" s="65"/>
      <c r="F1372" s="65"/>
      <c r="G1372" s="65"/>
    </row>
    <row r="1373">
      <c r="A1373" s="65"/>
      <c r="B1373" s="65"/>
      <c r="C1373" s="65"/>
      <c r="D1373" s="65"/>
      <c r="E1373" s="65"/>
      <c r="F1373" s="65"/>
      <c r="G1373" s="65"/>
    </row>
    <row r="1374">
      <c r="A1374" s="65"/>
      <c r="B1374" s="65"/>
      <c r="C1374" s="65"/>
      <c r="D1374" s="65"/>
      <c r="E1374" s="65"/>
      <c r="F1374" s="65"/>
      <c r="G1374" s="65"/>
    </row>
    <row r="1375">
      <c r="A1375" s="65"/>
      <c r="B1375" s="65"/>
      <c r="C1375" s="65"/>
      <c r="D1375" s="65"/>
      <c r="E1375" s="65"/>
      <c r="F1375" s="65"/>
      <c r="G1375" s="65"/>
    </row>
    <row r="1376">
      <c r="A1376" s="65"/>
      <c r="B1376" s="65"/>
      <c r="C1376" s="65"/>
      <c r="D1376" s="65"/>
      <c r="E1376" s="65"/>
      <c r="F1376" s="65"/>
      <c r="G1376" s="65"/>
    </row>
    <row r="1377">
      <c r="A1377" s="65"/>
      <c r="B1377" s="65"/>
      <c r="C1377" s="65"/>
      <c r="D1377" s="65"/>
      <c r="E1377" s="65"/>
      <c r="F1377" s="65"/>
      <c r="G1377" s="65"/>
    </row>
    <row r="1378">
      <c r="A1378" s="65"/>
      <c r="B1378" s="65"/>
      <c r="C1378" s="65"/>
      <c r="D1378" s="65"/>
      <c r="E1378" s="65"/>
      <c r="F1378" s="65"/>
      <c r="G1378" s="65"/>
    </row>
    <row r="1379">
      <c r="A1379" s="65"/>
      <c r="B1379" s="65"/>
      <c r="C1379" s="65"/>
      <c r="D1379" s="65"/>
      <c r="E1379" s="65"/>
      <c r="F1379" s="65"/>
      <c r="G1379" s="65"/>
    </row>
    <row r="1380">
      <c r="A1380" s="65"/>
      <c r="B1380" s="65"/>
      <c r="C1380" s="65"/>
      <c r="D1380" s="65"/>
      <c r="E1380" s="65"/>
      <c r="F1380" s="65"/>
      <c r="G1380" s="65"/>
    </row>
    <row r="1381">
      <c r="A1381" s="65"/>
      <c r="B1381" s="65"/>
      <c r="C1381" s="65"/>
      <c r="D1381" s="65"/>
      <c r="E1381" s="65"/>
      <c r="F1381" s="65"/>
      <c r="G1381" s="65"/>
    </row>
    <row r="1382">
      <c r="A1382" s="65"/>
      <c r="B1382" s="65"/>
      <c r="C1382" s="65"/>
      <c r="D1382" s="65"/>
      <c r="E1382" s="65"/>
      <c r="F1382" s="65"/>
      <c r="G1382" s="65"/>
    </row>
    <row r="1383">
      <c r="A1383" s="65"/>
      <c r="B1383" s="65"/>
      <c r="C1383" s="65"/>
      <c r="D1383" s="65"/>
      <c r="E1383" s="65"/>
      <c r="F1383" s="65"/>
      <c r="G1383" s="65"/>
    </row>
    <row r="1384">
      <c r="A1384" s="65"/>
      <c r="B1384" s="65"/>
      <c r="C1384" s="65"/>
      <c r="D1384" s="65"/>
      <c r="E1384" s="65"/>
      <c r="F1384" s="65"/>
      <c r="G1384" s="65"/>
    </row>
    <row r="1385">
      <c r="A1385" s="65"/>
      <c r="B1385" s="65"/>
      <c r="C1385" s="65"/>
      <c r="D1385" s="65"/>
      <c r="E1385" s="65"/>
      <c r="F1385" s="65"/>
      <c r="G1385" s="65"/>
    </row>
    <row r="1386">
      <c r="A1386" s="65"/>
      <c r="B1386" s="65"/>
      <c r="C1386" s="65"/>
      <c r="D1386" s="65"/>
      <c r="E1386" s="65"/>
      <c r="F1386" s="65"/>
      <c r="G1386" s="65"/>
    </row>
    <row r="1387">
      <c r="A1387" s="65"/>
      <c r="B1387" s="65"/>
      <c r="C1387" s="65"/>
      <c r="D1387" s="65"/>
      <c r="E1387" s="65"/>
      <c r="F1387" s="65"/>
      <c r="G1387" s="65"/>
    </row>
    <row r="1388">
      <c r="A1388" s="65"/>
      <c r="B1388" s="65"/>
      <c r="C1388" s="65"/>
      <c r="D1388" s="65"/>
      <c r="E1388" s="65"/>
      <c r="F1388" s="65"/>
      <c r="G1388" s="65"/>
    </row>
    <row r="1389">
      <c r="A1389" s="65"/>
      <c r="B1389" s="65"/>
      <c r="C1389" s="65"/>
      <c r="D1389" s="65"/>
      <c r="E1389" s="65"/>
      <c r="F1389" s="65"/>
      <c r="G1389" s="65"/>
    </row>
    <row r="1390">
      <c r="A1390" s="65"/>
      <c r="B1390" s="65"/>
      <c r="C1390" s="65"/>
      <c r="D1390" s="65"/>
      <c r="E1390" s="65"/>
      <c r="F1390" s="65"/>
      <c r="G1390" s="65"/>
    </row>
    <row r="1391">
      <c r="A1391" s="65"/>
      <c r="B1391" s="65"/>
      <c r="C1391" s="65"/>
      <c r="D1391" s="65"/>
      <c r="E1391" s="65"/>
      <c r="F1391" s="65"/>
      <c r="G1391" s="65"/>
    </row>
    <row r="1392">
      <c r="A1392" s="65"/>
      <c r="B1392" s="65"/>
      <c r="C1392" s="65"/>
      <c r="D1392" s="65"/>
      <c r="E1392" s="65"/>
      <c r="F1392" s="65"/>
      <c r="G1392" s="65"/>
    </row>
    <row r="1393">
      <c r="A1393" s="65"/>
      <c r="B1393" s="65"/>
      <c r="C1393" s="65"/>
      <c r="D1393" s="65"/>
      <c r="E1393" s="65"/>
      <c r="F1393" s="65"/>
      <c r="G1393" s="65"/>
    </row>
    <row r="1394">
      <c r="A1394" s="65"/>
      <c r="B1394" s="65"/>
      <c r="C1394" s="65"/>
      <c r="D1394" s="65"/>
      <c r="E1394" s="65"/>
      <c r="F1394" s="65"/>
      <c r="G1394" s="65"/>
    </row>
    <row r="1395">
      <c r="A1395" s="65"/>
      <c r="B1395" s="65"/>
      <c r="C1395" s="65"/>
      <c r="D1395" s="65"/>
      <c r="E1395" s="65"/>
      <c r="F1395" s="65"/>
      <c r="G1395" s="65"/>
    </row>
    <row r="1396">
      <c r="A1396" s="65"/>
      <c r="B1396" s="65"/>
      <c r="C1396" s="65"/>
      <c r="D1396" s="65"/>
      <c r="E1396" s="65"/>
      <c r="F1396" s="65"/>
      <c r="G1396" s="65"/>
    </row>
    <row r="1397">
      <c r="A1397" s="65"/>
      <c r="B1397" s="65"/>
      <c r="C1397" s="65"/>
      <c r="D1397" s="65"/>
      <c r="E1397" s="65"/>
      <c r="F1397" s="65"/>
      <c r="G1397" s="65"/>
    </row>
    <row r="1398">
      <c r="A1398" s="65"/>
      <c r="B1398" s="65"/>
      <c r="C1398" s="65"/>
      <c r="D1398" s="65"/>
      <c r="E1398" s="65"/>
      <c r="F1398" s="65"/>
      <c r="G1398" s="65"/>
    </row>
    <row r="1399">
      <c r="A1399" s="65"/>
      <c r="B1399" s="65"/>
      <c r="C1399" s="65"/>
      <c r="D1399" s="65"/>
      <c r="E1399" s="65"/>
      <c r="F1399" s="65"/>
      <c r="G1399" s="65"/>
    </row>
    <row r="1400">
      <c r="A1400" s="65"/>
      <c r="B1400" s="65"/>
      <c r="C1400" s="65"/>
      <c r="D1400" s="65"/>
      <c r="E1400" s="65"/>
      <c r="F1400" s="65"/>
      <c r="G1400" s="65"/>
    </row>
    <row r="1401">
      <c r="A1401" s="65"/>
      <c r="B1401" s="65"/>
      <c r="C1401" s="65"/>
      <c r="D1401" s="65"/>
      <c r="E1401" s="65"/>
      <c r="F1401" s="65"/>
      <c r="G1401" s="65"/>
    </row>
    <row r="1402">
      <c r="A1402" s="65"/>
      <c r="B1402" s="65"/>
      <c r="C1402" s="65"/>
      <c r="D1402" s="65"/>
      <c r="E1402" s="65"/>
      <c r="F1402" s="65"/>
      <c r="G1402" s="65"/>
    </row>
    <row r="1403">
      <c r="A1403" s="65"/>
      <c r="B1403" s="65"/>
      <c r="C1403" s="65"/>
      <c r="D1403" s="65"/>
      <c r="E1403" s="65"/>
      <c r="F1403" s="65"/>
      <c r="G1403" s="65"/>
    </row>
    <row r="1404">
      <c r="A1404" s="65"/>
      <c r="B1404" s="65"/>
      <c r="C1404" s="65"/>
      <c r="D1404" s="65"/>
      <c r="E1404" s="65"/>
      <c r="F1404" s="65"/>
      <c r="G1404" s="65"/>
    </row>
    <row r="1405">
      <c r="A1405" s="65"/>
      <c r="B1405" s="65"/>
      <c r="C1405" s="65"/>
      <c r="D1405" s="65"/>
      <c r="E1405" s="65"/>
      <c r="F1405" s="65"/>
      <c r="G1405" s="65"/>
    </row>
    <row r="1406">
      <c r="A1406" s="65"/>
      <c r="B1406" s="65"/>
      <c r="C1406" s="65"/>
      <c r="D1406" s="65"/>
      <c r="E1406" s="65"/>
      <c r="F1406" s="65"/>
      <c r="G1406" s="65"/>
    </row>
    <row r="1407">
      <c r="A1407" s="65"/>
      <c r="B1407" s="65"/>
      <c r="C1407" s="65"/>
      <c r="D1407" s="65"/>
      <c r="E1407" s="65"/>
      <c r="F1407" s="65"/>
      <c r="G1407" s="65"/>
    </row>
    <row r="1408">
      <c r="A1408" s="65"/>
      <c r="B1408" s="65"/>
      <c r="C1408" s="65"/>
      <c r="D1408" s="65"/>
      <c r="E1408" s="65"/>
      <c r="F1408" s="65"/>
      <c r="G1408" s="65"/>
    </row>
    <row r="1409">
      <c r="A1409" s="65"/>
      <c r="B1409" s="65"/>
      <c r="C1409" s="65"/>
      <c r="D1409" s="65"/>
      <c r="E1409" s="65"/>
      <c r="F1409" s="65"/>
      <c r="G1409" s="65"/>
    </row>
    <row r="1410">
      <c r="A1410" s="65"/>
      <c r="B1410" s="65"/>
      <c r="C1410" s="65"/>
      <c r="D1410" s="65"/>
      <c r="E1410" s="65"/>
      <c r="F1410" s="65"/>
      <c r="G1410" s="65"/>
    </row>
    <row r="1411">
      <c r="A1411" s="65"/>
      <c r="B1411" s="65"/>
      <c r="C1411" s="65"/>
      <c r="D1411" s="65"/>
      <c r="E1411" s="65"/>
      <c r="F1411" s="65"/>
      <c r="G1411" s="65"/>
    </row>
    <row r="1412">
      <c r="A1412" s="65"/>
      <c r="B1412" s="65"/>
      <c r="C1412" s="65"/>
      <c r="D1412" s="65"/>
      <c r="E1412" s="65"/>
      <c r="F1412" s="65"/>
      <c r="G1412" s="65"/>
    </row>
    <row r="1413">
      <c r="A1413" s="65"/>
      <c r="B1413" s="65"/>
      <c r="C1413" s="65"/>
      <c r="D1413" s="65"/>
      <c r="E1413" s="65"/>
      <c r="F1413" s="65"/>
      <c r="G1413" s="65"/>
    </row>
    <row r="1414">
      <c r="A1414" s="65"/>
      <c r="B1414" s="65"/>
      <c r="C1414" s="65"/>
      <c r="D1414" s="65"/>
      <c r="E1414" s="65"/>
      <c r="F1414" s="65"/>
      <c r="G1414" s="65"/>
    </row>
    <row r="1415">
      <c r="A1415" s="65"/>
      <c r="B1415" s="65"/>
      <c r="C1415" s="65"/>
      <c r="D1415" s="65"/>
      <c r="E1415" s="65"/>
      <c r="F1415" s="65"/>
      <c r="G1415" s="65"/>
    </row>
    <row r="1416">
      <c r="A1416" s="65"/>
      <c r="B1416" s="65"/>
      <c r="C1416" s="65"/>
      <c r="D1416" s="65"/>
      <c r="E1416" s="65"/>
      <c r="F1416" s="65"/>
      <c r="G1416" s="65"/>
    </row>
    <row r="1417">
      <c r="A1417" s="65"/>
      <c r="B1417" s="65"/>
      <c r="C1417" s="65"/>
      <c r="D1417" s="65"/>
      <c r="E1417" s="65"/>
      <c r="F1417" s="65"/>
      <c r="G1417" s="65"/>
    </row>
    <row r="1418">
      <c r="A1418" s="65"/>
      <c r="B1418" s="65"/>
      <c r="C1418" s="65"/>
      <c r="D1418" s="65"/>
      <c r="E1418" s="65"/>
      <c r="F1418" s="65"/>
      <c r="G1418" s="65"/>
    </row>
    <row r="1419">
      <c r="A1419" s="65"/>
      <c r="B1419" s="65"/>
      <c r="C1419" s="65"/>
      <c r="D1419" s="65"/>
      <c r="E1419" s="65"/>
      <c r="F1419" s="65"/>
      <c r="G1419" s="65"/>
    </row>
    <row r="1420">
      <c r="A1420" s="65"/>
      <c r="B1420" s="65"/>
      <c r="C1420" s="65"/>
      <c r="D1420" s="65"/>
      <c r="E1420" s="65"/>
      <c r="F1420" s="65"/>
      <c r="G1420" s="65"/>
    </row>
    <row r="1421">
      <c r="A1421" s="65"/>
      <c r="B1421" s="65"/>
      <c r="C1421" s="65"/>
      <c r="D1421" s="65"/>
      <c r="E1421" s="65"/>
      <c r="F1421" s="65"/>
      <c r="G1421" s="65"/>
    </row>
    <row r="1422">
      <c r="A1422" s="65"/>
      <c r="B1422" s="65"/>
      <c r="C1422" s="65"/>
      <c r="D1422" s="65"/>
      <c r="E1422" s="65"/>
      <c r="F1422" s="65"/>
      <c r="G1422" s="65"/>
    </row>
    <row r="1423">
      <c r="A1423" s="65"/>
      <c r="B1423" s="65"/>
      <c r="C1423" s="65"/>
      <c r="D1423" s="65"/>
      <c r="E1423" s="65"/>
      <c r="F1423" s="65"/>
      <c r="G1423" s="65"/>
    </row>
    <row r="1424">
      <c r="A1424" s="65"/>
      <c r="B1424" s="65"/>
      <c r="C1424" s="65"/>
      <c r="D1424" s="65"/>
      <c r="E1424" s="65"/>
      <c r="F1424" s="65"/>
      <c r="G1424" s="65"/>
    </row>
    <row r="1425">
      <c r="A1425" s="65"/>
      <c r="B1425" s="65"/>
      <c r="C1425" s="65"/>
      <c r="D1425" s="65"/>
      <c r="E1425" s="65"/>
      <c r="F1425" s="65"/>
      <c r="G1425" s="65"/>
    </row>
    <row r="1426">
      <c r="A1426" s="65"/>
      <c r="B1426" s="65"/>
      <c r="C1426" s="65"/>
      <c r="D1426" s="65"/>
      <c r="E1426" s="65"/>
      <c r="F1426" s="65"/>
      <c r="G1426" s="65"/>
    </row>
    <row r="1427">
      <c r="A1427" s="65"/>
      <c r="B1427" s="65"/>
      <c r="C1427" s="65"/>
      <c r="D1427" s="65"/>
      <c r="E1427" s="65"/>
      <c r="F1427" s="65"/>
      <c r="G1427" s="65"/>
    </row>
    <row r="1428">
      <c r="A1428" s="65"/>
      <c r="B1428" s="65"/>
      <c r="C1428" s="65"/>
      <c r="D1428" s="65"/>
      <c r="E1428" s="65"/>
      <c r="F1428" s="65"/>
      <c r="G1428" s="65"/>
    </row>
    <row r="1429">
      <c r="A1429" s="65"/>
      <c r="B1429" s="65"/>
      <c r="C1429" s="65"/>
      <c r="D1429" s="65"/>
      <c r="E1429" s="65"/>
      <c r="F1429" s="65"/>
      <c r="G1429" s="65"/>
    </row>
    <row r="1430">
      <c r="A1430" s="65"/>
      <c r="B1430" s="65"/>
      <c r="C1430" s="65"/>
      <c r="D1430" s="65"/>
      <c r="E1430" s="65"/>
      <c r="F1430" s="65"/>
      <c r="G1430" s="65"/>
    </row>
    <row r="1431">
      <c r="A1431" s="65"/>
      <c r="B1431" s="65"/>
      <c r="C1431" s="65"/>
      <c r="D1431" s="65"/>
      <c r="E1431" s="65"/>
      <c r="F1431" s="65"/>
      <c r="G1431" s="65"/>
    </row>
    <row r="1432">
      <c r="A1432" s="65"/>
      <c r="B1432" s="65"/>
      <c r="C1432" s="65"/>
      <c r="D1432" s="65"/>
      <c r="E1432" s="65"/>
      <c r="F1432" s="65"/>
      <c r="G1432" s="65"/>
    </row>
    <row r="1433">
      <c r="A1433" s="65"/>
      <c r="B1433" s="65"/>
      <c r="C1433" s="65"/>
      <c r="D1433" s="65"/>
      <c r="E1433" s="65"/>
      <c r="F1433" s="65"/>
      <c r="G1433" s="65"/>
    </row>
    <row r="1434">
      <c r="A1434" s="65"/>
      <c r="B1434" s="65"/>
      <c r="C1434" s="65"/>
      <c r="D1434" s="65"/>
      <c r="E1434" s="65"/>
      <c r="F1434" s="65"/>
      <c r="G1434" s="65"/>
    </row>
    <row r="1435">
      <c r="A1435" s="65"/>
      <c r="B1435" s="65"/>
      <c r="C1435" s="65"/>
      <c r="D1435" s="65"/>
      <c r="E1435" s="65"/>
      <c r="F1435" s="65"/>
      <c r="G1435" s="65"/>
    </row>
    <row r="1436">
      <c r="A1436" s="65"/>
      <c r="B1436" s="65"/>
      <c r="C1436" s="65"/>
      <c r="D1436" s="65"/>
      <c r="E1436" s="65"/>
      <c r="F1436" s="65"/>
      <c r="G1436" s="65"/>
    </row>
    <row r="1437">
      <c r="A1437" s="65"/>
      <c r="B1437" s="65"/>
      <c r="C1437" s="65"/>
      <c r="D1437" s="65"/>
      <c r="E1437" s="65"/>
      <c r="F1437" s="65"/>
      <c r="G1437" s="65"/>
    </row>
    <row r="1438">
      <c r="A1438" s="65"/>
      <c r="B1438" s="65"/>
      <c r="C1438" s="65"/>
      <c r="D1438" s="65"/>
      <c r="E1438" s="65"/>
      <c r="F1438" s="65"/>
      <c r="G1438" s="65"/>
    </row>
    <row r="1439">
      <c r="A1439" s="65"/>
      <c r="B1439" s="65"/>
      <c r="C1439" s="65"/>
      <c r="D1439" s="65"/>
      <c r="E1439" s="65"/>
      <c r="F1439" s="65"/>
      <c r="G1439" s="65"/>
    </row>
    <row r="1440">
      <c r="A1440" s="65"/>
      <c r="B1440" s="65"/>
      <c r="C1440" s="65"/>
      <c r="D1440" s="65"/>
      <c r="E1440" s="65"/>
      <c r="F1440" s="65"/>
      <c r="G1440" s="65"/>
    </row>
    <row r="1441">
      <c r="A1441" s="65"/>
      <c r="B1441" s="65"/>
      <c r="C1441" s="65"/>
      <c r="D1441" s="65"/>
      <c r="E1441" s="65"/>
      <c r="F1441" s="65"/>
      <c r="G1441" s="65"/>
    </row>
    <row r="1442">
      <c r="A1442" s="65"/>
      <c r="B1442" s="65"/>
      <c r="C1442" s="65"/>
      <c r="D1442" s="65"/>
      <c r="E1442" s="65"/>
      <c r="F1442" s="65"/>
      <c r="G1442" s="65"/>
    </row>
    <row r="1443">
      <c r="A1443" s="65"/>
      <c r="B1443" s="65"/>
      <c r="C1443" s="65"/>
      <c r="D1443" s="65"/>
      <c r="E1443" s="65"/>
      <c r="F1443" s="65"/>
      <c r="G1443" s="65"/>
    </row>
    <row r="1444">
      <c r="A1444" s="65"/>
      <c r="B1444" s="65"/>
      <c r="C1444" s="65"/>
      <c r="D1444" s="65"/>
      <c r="E1444" s="65"/>
      <c r="F1444" s="65"/>
      <c r="G1444" s="65"/>
    </row>
    <row r="1445">
      <c r="A1445" s="65"/>
      <c r="B1445" s="65"/>
      <c r="C1445" s="65"/>
      <c r="D1445" s="65"/>
      <c r="E1445" s="65"/>
      <c r="F1445" s="65"/>
      <c r="G1445" s="65"/>
    </row>
    <row r="1446">
      <c r="A1446" s="65"/>
      <c r="B1446" s="65"/>
      <c r="C1446" s="65"/>
      <c r="D1446" s="65"/>
      <c r="E1446" s="65"/>
      <c r="F1446" s="65"/>
      <c r="G1446" s="65"/>
    </row>
    <row r="1447">
      <c r="A1447" s="65"/>
      <c r="B1447" s="65"/>
      <c r="C1447" s="65"/>
      <c r="D1447" s="65"/>
      <c r="E1447" s="65"/>
      <c r="F1447" s="65"/>
      <c r="G1447" s="65"/>
    </row>
    <row r="1448">
      <c r="A1448" s="65"/>
      <c r="B1448" s="65"/>
      <c r="C1448" s="65"/>
      <c r="D1448" s="65"/>
      <c r="E1448" s="65"/>
      <c r="F1448" s="65"/>
      <c r="G1448" s="65"/>
    </row>
    <row r="1449">
      <c r="A1449" s="65"/>
      <c r="B1449" s="65"/>
      <c r="C1449" s="65"/>
      <c r="D1449" s="65"/>
      <c r="E1449" s="65"/>
      <c r="F1449" s="65"/>
      <c r="G1449" s="65"/>
    </row>
    <row r="1450">
      <c r="A1450" s="65"/>
      <c r="B1450" s="65"/>
      <c r="C1450" s="65"/>
      <c r="D1450" s="65"/>
      <c r="E1450" s="65"/>
      <c r="F1450" s="65"/>
      <c r="G1450" s="65"/>
    </row>
    <row r="1451">
      <c r="A1451" s="65"/>
      <c r="B1451" s="65"/>
      <c r="C1451" s="65"/>
      <c r="D1451" s="65"/>
      <c r="E1451" s="65"/>
      <c r="F1451" s="65"/>
      <c r="G1451" s="65"/>
    </row>
    <row r="1452">
      <c r="A1452" s="65"/>
      <c r="B1452" s="65"/>
      <c r="C1452" s="65"/>
      <c r="D1452" s="65"/>
      <c r="E1452" s="65"/>
      <c r="F1452" s="65"/>
      <c r="G1452" s="65"/>
    </row>
    <row r="1453">
      <c r="A1453" s="65"/>
      <c r="B1453" s="65"/>
      <c r="C1453" s="65"/>
      <c r="D1453" s="65"/>
      <c r="E1453" s="65"/>
      <c r="F1453" s="65"/>
      <c r="G1453" s="65"/>
    </row>
    <row r="1454">
      <c r="A1454" s="65"/>
      <c r="B1454" s="65"/>
      <c r="C1454" s="65"/>
      <c r="D1454" s="65"/>
      <c r="E1454" s="65"/>
      <c r="F1454" s="65"/>
      <c r="G1454" s="65"/>
    </row>
    <row r="1455">
      <c r="A1455" s="65"/>
      <c r="B1455" s="65"/>
      <c r="C1455" s="65"/>
      <c r="D1455" s="65"/>
      <c r="E1455" s="65"/>
      <c r="F1455" s="65"/>
      <c r="G1455" s="65"/>
    </row>
    <row r="1456">
      <c r="A1456" s="65"/>
      <c r="B1456" s="65"/>
      <c r="C1456" s="65"/>
      <c r="D1456" s="65"/>
      <c r="E1456" s="65"/>
      <c r="F1456" s="65"/>
      <c r="G1456" s="65"/>
    </row>
    <row r="1457">
      <c r="A1457" s="65"/>
      <c r="B1457" s="65"/>
      <c r="C1457" s="65"/>
      <c r="D1457" s="65"/>
      <c r="E1457" s="65"/>
      <c r="F1457" s="65"/>
      <c r="G1457" s="65"/>
    </row>
    <row r="1458">
      <c r="A1458" s="65"/>
      <c r="B1458" s="65"/>
      <c r="C1458" s="65"/>
      <c r="D1458" s="65"/>
      <c r="E1458" s="65"/>
      <c r="F1458" s="65"/>
      <c r="G1458" s="65"/>
    </row>
    <row r="1459">
      <c r="A1459" s="65"/>
      <c r="B1459" s="65"/>
      <c r="C1459" s="65"/>
      <c r="D1459" s="65"/>
      <c r="E1459" s="65"/>
      <c r="F1459" s="65"/>
      <c r="G1459" s="65"/>
    </row>
    <row r="1460">
      <c r="A1460" s="65"/>
      <c r="B1460" s="65"/>
      <c r="C1460" s="65"/>
      <c r="D1460" s="65"/>
      <c r="E1460" s="65"/>
      <c r="F1460" s="65"/>
      <c r="G1460" s="65"/>
    </row>
    <row r="1461">
      <c r="A1461" s="65"/>
      <c r="B1461" s="65"/>
      <c r="C1461" s="65"/>
      <c r="D1461" s="65"/>
      <c r="E1461" s="65"/>
      <c r="F1461" s="65"/>
      <c r="G1461" s="65"/>
    </row>
    <row r="1462">
      <c r="A1462" s="65"/>
      <c r="B1462" s="65"/>
      <c r="C1462" s="65"/>
      <c r="D1462" s="65"/>
      <c r="E1462" s="65"/>
      <c r="F1462" s="65"/>
      <c r="G1462" s="65"/>
    </row>
    <row r="1463">
      <c r="A1463" s="65"/>
      <c r="B1463" s="65"/>
      <c r="C1463" s="65"/>
      <c r="D1463" s="65"/>
      <c r="E1463" s="65"/>
      <c r="F1463" s="65"/>
      <c r="G1463" s="65"/>
    </row>
    <row r="1464">
      <c r="A1464" s="65"/>
      <c r="B1464" s="65"/>
      <c r="C1464" s="65"/>
      <c r="D1464" s="65"/>
      <c r="E1464" s="65"/>
      <c r="F1464" s="65"/>
      <c r="G1464" s="65"/>
    </row>
    <row r="1465">
      <c r="A1465" s="65"/>
      <c r="B1465" s="65"/>
      <c r="C1465" s="65"/>
      <c r="D1465" s="65"/>
      <c r="E1465" s="65"/>
      <c r="F1465" s="65"/>
      <c r="G1465" s="65"/>
    </row>
    <row r="1466">
      <c r="A1466" s="65"/>
      <c r="B1466" s="65"/>
      <c r="C1466" s="65"/>
      <c r="D1466" s="65"/>
      <c r="E1466" s="65"/>
      <c r="F1466" s="65"/>
      <c r="G1466" s="65"/>
    </row>
    <row r="1467">
      <c r="A1467" s="65"/>
      <c r="B1467" s="65"/>
      <c r="C1467" s="65"/>
      <c r="D1467" s="65"/>
      <c r="E1467" s="65"/>
      <c r="F1467" s="65"/>
      <c r="G1467" s="65"/>
    </row>
    <row r="1468">
      <c r="A1468" s="65"/>
      <c r="B1468" s="65"/>
      <c r="C1468" s="65"/>
      <c r="D1468" s="65"/>
      <c r="E1468" s="65"/>
      <c r="F1468" s="65"/>
      <c r="G1468" s="65"/>
    </row>
    <row r="1469">
      <c r="A1469" s="65"/>
      <c r="B1469" s="65"/>
      <c r="C1469" s="65"/>
      <c r="D1469" s="65"/>
      <c r="E1469" s="65"/>
      <c r="F1469" s="65"/>
      <c r="G1469" s="65"/>
    </row>
    <row r="1470">
      <c r="A1470" s="65"/>
      <c r="B1470" s="65"/>
      <c r="C1470" s="65"/>
      <c r="D1470" s="65"/>
      <c r="E1470" s="65"/>
      <c r="F1470" s="65"/>
      <c r="G1470" s="65"/>
    </row>
    <row r="1471">
      <c r="A1471" s="65"/>
      <c r="B1471" s="65"/>
      <c r="C1471" s="65"/>
      <c r="D1471" s="65"/>
      <c r="E1471" s="65"/>
      <c r="F1471" s="65"/>
      <c r="G1471" s="65"/>
    </row>
    <row r="1472">
      <c r="A1472" s="65"/>
      <c r="B1472" s="65"/>
      <c r="C1472" s="65"/>
      <c r="D1472" s="65"/>
      <c r="E1472" s="65"/>
      <c r="F1472" s="65"/>
      <c r="G1472" s="65"/>
    </row>
    <row r="1473">
      <c r="A1473" s="65"/>
      <c r="B1473" s="65"/>
      <c r="C1473" s="65"/>
      <c r="D1473" s="65"/>
      <c r="E1473" s="65"/>
      <c r="F1473" s="65"/>
      <c r="G1473" s="65"/>
    </row>
    <row r="1474">
      <c r="A1474" s="65"/>
      <c r="B1474" s="65"/>
      <c r="C1474" s="65"/>
      <c r="D1474" s="65"/>
      <c r="E1474" s="65"/>
      <c r="F1474" s="65"/>
      <c r="G1474" s="65"/>
    </row>
    <row r="1475">
      <c r="A1475" s="65"/>
      <c r="B1475" s="65"/>
      <c r="C1475" s="65"/>
      <c r="D1475" s="65"/>
      <c r="E1475" s="65"/>
      <c r="F1475" s="65"/>
      <c r="G1475" s="65"/>
    </row>
    <row r="1476">
      <c r="A1476" s="65"/>
      <c r="B1476" s="65"/>
      <c r="C1476" s="65"/>
      <c r="D1476" s="65"/>
      <c r="E1476" s="65"/>
      <c r="F1476" s="65"/>
      <c r="G1476" s="65"/>
    </row>
    <row r="1477">
      <c r="A1477" s="65"/>
      <c r="B1477" s="65"/>
      <c r="C1477" s="65"/>
      <c r="D1477" s="65"/>
      <c r="E1477" s="65"/>
      <c r="F1477" s="65"/>
      <c r="G1477" s="65"/>
    </row>
    <row r="1478">
      <c r="A1478" s="65"/>
      <c r="B1478" s="65"/>
      <c r="C1478" s="65"/>
      <c r="D1478" s="65"/>
      <c r="E1478" s="65"/>
      <c r="F1478" s="65"/>
      <c r="G1478" s="65"/>
    </row>
    <row r="1479">
      <c r="A1479" s="65"/>
      <c r="B1479" s="65"/>
      <c r="C1479" s="65"/>
      <c r="D1479" s="65"/>
      <c r="E1479" s="65"/>
      <c r="F1479" s="65"/>
      <c r="G1479" s="65"/>
    </row>
    <row r="1480">
      <c r="A1480" s="65"/>
      <c r="B1480" s="65"/>
      <c r="C1480" s="65"/>
      <c r="D1480" s="65"/>
      <c r="E1480" s="65"/>
      <c r="F1480" s="65"/>
      <c r="G1480" s="65"/>
    </row>
    <row r="1481">
      <c r="A1481" s="65"/>
      <c r="B1481" s="65"/>
      <c r="C1481" s="65"/>
      <c r="D1481" s="65"/>
      <c r="E1481" s="65"/>
      <c r="F1481" s="65"/>
      <c r="G1481" s="65"/>
    </row>
    <row r="1482">
      <c r="A1482" s="65"/>
      <c r="B1482" s="65"/>
      <c r="C1482" s="65"/>
      <c r="D1482" s="65"/>
      <c r="E1482" s="65"/>
      <c r="F1482" s="65"/>
      <c r="G1482" s="65"/>
    </row>
    <row r="1483">
      <c r="A1483" s="65"/>
      <c r="B1483" s="65"/>
      <c r="C1483" s="65"/>
      <c r="D1483" s="65"/>
      <c r="E1483" s="65"/>
      <c r="F1483" s="65"/>
      <c r="G1483" s="65"/>
    </row>
    <row r="1484">
      <c r="A1484" s="65"/>
      <c r="B1484" s="65"/>
      <c r="C1484" s="65"/>
      <c r="D1484" s="65"/>
      <c r="E1484" s="65"/>
      <c r="F1484" s="65"/>
      <c r="G1484" s="65"/>
    </row>
    <row r="1485">
      <c r="A1485" s="65"/>
      <c r="B1485" s="65"/>
      <c r="C1485" s="65"/>
      <c r="D1485" s="65"/>
      <c r="E1485" s="65"/>
      <c r="F1485" s="65"/>
      <c r="G1485" s="65"/>
    </row>
    <row r="1486">
      <c r="A1486" s="65"/>
      <c r="B1486" s="65"/>
      <c r="C1486" s="65"/>
      <c r="D1486" s="65"/>
      <c r="E1486" s="65"/>
      <c r="F1486" s="65"/>
      <c r="G1486" s="65"/>
    </row>
    <row r="1487">
      <c r="A1487" s="65"/>
      <c r="B1487" s="65"/>
      <c r="C1487" s="65"/>
      <c r="D1487" s="65"/>
      <c r="E1487" s="65"/>
      <c r="F1487" s="65"/>
      <c r="G1487" s="65"/>
    </row>
    <row r="1488">
      <c r="A1488" s="65"/>
      <c r="B1488" s="65"/>
      <c r="C1488" s="65"/>
      <c r="D1488" s="65"/>
      <c r="E1488" s="65"/>
      <c r="F1488" s="65"/>
      <c r="G1488" s="65"/>
    </row>
    <row r="1489">
      <c r="A1489" s="65"/>
      <c r="B1489" s="65"/>
      <c r="C1489" s="65"/>
      <c r="D1489" s="65"/>
      <c r="E1489" s="65"/>
      <c r="F1489" s="65"/>
      <c r="G1489" s="65"/>
    </row>
    <row r="1490">
      <c r="A1490" s="65"/>
      <c r="B1490" s="65"/>
      <c r="C1490" s="65"/>
      <c r="D1490" s="65"/>
      <c r="E1490" s="65"/>
      <c r="F1490" s="65"/>
      <c r="G1490" s="65"/>
    </row>
    <row r="1491">
      <c r="A1491" s="65"/>
      <c r="B1491" s="65"/>
      <c r="C1491" s="65"/>
      <c r="D1491" s="65"/>
      <c r="E1491" s="65"/>
      <c r="F1491" s="65"/>
      <c r="G1491" s="65"/>
    </row>
    <row r="1492">
      <c r="A1492" s="65"/>
      <c r="B1492" s="65"/>
      <c r="C1492" s="65"/>
      <c r="D1492" s="65"/>
      <c r="E1492" s="65"/>
      <c r="F1492" s="65"/>
      <c r="G1492" s="65"/>
    </row>
    <row r="1493">
      <c r="A1493" s="65"/>
      <c r="B1493" s="65"/>
      <c r="C1493" s="65"/>
      <c r="D1493" s="65"/>
      <c r="E1493" s="65"/>
      <c r="F1493" s="65"/>
      <c r="G1493" s="65"/>
    </row>
    <row r="1494">
      <c r="A1494" s="65"/>
      <c r="B1494" s="65"/>
      <c r="C1494" s="65"/>
      <c r="D1494" s="65"/>
      <c r="E1494" s="65"/>
      <c r="F1494" s="65"/>
      <c r="G1494" s="65"/>
    </row>
    <row r="1495">
      <c r="A1495" s="65"/>
      <c r="B1495" s="65"/>
      <c r="C1495" s="65"/>
      <c r="D1495" s="65"/>
      <c r="E1495" s="65"/>
      <c r="F1495" s="65"/>
      <c r="G1495" s="65"/>
    </row>
    <row r="1496">
      <c r="A1496" s="65"/>
      <c r="B1496" s="65"/>
      <c r="C1496" s="65"/>
      <c r="D1496" s="65"/>
      <c r="E1496" s="65"/>
      <c r="F1496" s="65"/>
      <c r="G1496" s="65"/>
    </row>
    <row r="1497">
      <c r="A1497" s="65"/>
      <c r="B1497" s="65"/>
      <c r="C1497" s="65"/>
      <c r="D1497" s="65"/>
      <c r="E1497" s="65"/>
      <c r="F1497" s="65"/>
      <c r="G1497" s="65"/>
    </row>
    <row r="1498">
      <c r="A1498" s="65"/>
      <c r="B1498" s="65"/>
      <c r="C1498" s="65"/>
      <c r="D1498" s="65"/>
      <c r="E1498" s="65"/>
      <c r="F1498" s="65"/>
      <c r="G1498" s="65"/>
    </row>
    <row r="1499">
      <c r="A1499" s="65"/>
      <c r="B1499" s="65"/>
      <c r="C1499" s="65"/>
      <c r="D1499" s="65"/>
      <c r="E1499" s="65"/>
      <c r="F1499" s="65"/>
      <c r="G1499" s="65"/>
    </row>
    <row r="1500">
      <c r="A1500" s="65"/>
      <c r="B1500" s="65"/>
      <c r="C1500" s="65"/>
      <c r="D1500" s="65"/>
      <c r="E1500" s="65"/>
      <c r="F1500" s="65"/>
      <c r="G1500" s="65"/>
    </row>
    <row r="1501">
      <c r="A1501" s="65"/>
      <c r="B1501" s="65"/>
      <c r="C1501" s="65"/>
      <c r="D1501" s="65"/>
      <c r="E1501" s="65"/>
      <c r="F1501" s="65"/>
      <c r="G1501" s="65"/>
    </row>
    <row r="1502">
      <c r="A1502" s="65"/>
      <c r="B1502" s="65"/>
      <c r="C1502" s="65"/>
      <c r="D1502" s="65"/>
      <c r="E1502" s="65"/>
      <c r="F1502" s="65"/>
      <c r="G1502" s="65"/>
    </row>
    <row r="1503">
      <c r="A1503" s="65"/>
      <c r="B1503" s="65"/>
      <c r="C1503" s="65"/>
      <c r="D1503" s="65"/>
      <c r="E1503" s="65"/>
      <c r="F1503" s="65"/>
      <c r="G1503" s="65"/>
    </row>
    <row r="1504">
      <c r="A1504" s="65"/>
      <c r="B1504" s="65"/>
      <c r="C1504" s="65"/>
      <c r="D1504" s="65"/>
      <c r="E1504" s="65"/>
      <c r="F1504" s="65"/>
      <c r="G1504" s="65"/>
    </row>
    <row r="1505">
      <c r="A1505" s="65"/>
      <c r="B1505" s="65"/>
      <c r="C1505" s="65"/>
      <c r="D1505" s="65"/>
      <c r="E1505" s="65"/>
      <c r="F1505" s="65"/>
      <c r="G1505" s="65"/>
    </row>
    <row r="1506">
      <c r="A1506" s="65"/>
      <c r="B1506" s="65"/>
      <c r="C1506" s="65"/>
      <c r="D1506" s="65"/>
      <c r="E1506" s="65"/>
      <c r="F1506" s="65"/>
      <c r="G1506" s="65"/>
    </row>
    <row r="1507">
      <c r="A1507" s="65"/>
      <c r="B1507" s="65"/>
      <c r="C1507" s="65"/>
      <c r="D1507" s="65"/>
      <c r="E1507" s="65"/>
      <c r="F1507" s="65"/>
      <c r="G1507" s="65"/>
    </row>
    <row r="1508">
      <c r="A1508" s="65"/>
      <c r="B1508" s="65"/>
      <c r="C1508" s="65"/>
      <c r="D1508" s="65"/>
      <c r="E1508" s="65"/>
      <c r="F1508" s="65"/>
      <c r="G1508" s="65"/>
    </row>
    <row r="1509">
      <c r="A1509" s="65"/>
      <c r="B1509" s="65"/>
      <c r="C1509" s="65"/>
      <c r="D1509" s="65"/>
      <c r="E1509" s="65"/>
      <c r="F1509" s="65"/>
      <c r="G1509" s="65"/>
    </row>
    <row r="1510">
      <c r="A1510" s="65"/>
      <c r="B1510" s="65"/>
      <c r="C1510" s="65"/>
      <c r="D1510" s="65"/>
      <c r="E1510" s="65"/>
      <c r="F1510" s="65"/>
      <c r="G1510" s="65"/>
    </row>
    <row r="1511">
      <c r="A1511" s="65"/>
      <c r="B1511" s="65"/>
      <c r="C1511" s="65"/>
      <c r="D1511" s="65"/>
      <c r="E1511" s="65"/>
      <c r="F1511" s="65"/>
      <c r="G1511" s="65"/>
    </row>
    <row r="1512">
      <c r="A1512" s="65"/>
      <c r="B1512" s="65"/>
      <c r="C1512" s="65"/>
      <c r="D1512" s="65"/>
      <c r="E1512" s="65"/>
      <c r="F1512" s="65"/>
      <c r="G1512" s="65"/>
    </row>
    <row r="1513">
      <c r="A1513" s="65"/>
      <c r="B1513" s="65"/>
      <c r="C1513" s="65"/>
      <c r="D1513" s="65"/>
      <c r="E1513" s="65"/>
      <c r="F1513" s="65"/>
      <c r="G1513" s="65"/>
    </row>
    <row r="1514">
      <c r="A1514" s="65"/>
      <c r="B1514" s="65"/>
      <c r="C1514" s="65"/>
      <c r="D1514" s="65"/>
      <c r="E1514" s="65"/>
      <c r="F1514" s="65"/>
      <c r="G1514" s="65"/>
    </row>
    <row r="1515">
      <c r="A1515" s="65"/>
      <c r="B1515" s="65"/>
      <c r="C1515" s="65"/>
      <c r="D1515" s="65"/>
      <c r="E1515" s="65"/>
      <c r="F1515" s="65"/>
      <c r="G1515" s="65"/>
    </row>
    <row r="1516">
      <c r="A1516" s="65"/>
      <c r="B1516" s="65"/>
      <c r="C1516" s="65"/>
      <c r="D1516" s="65"/>
      <c r="E1516" s="65"/>
      <c r="F1516" s="65"/>
      <c r="G1516" s="65"/>
    </row>
    <row r="1517">
      <c r="A1517" s="65"/>
      <c r="B1517" s="65"/>
      <c r="C1517" s="65"/>
      <c r="D1517" s="65"/>
      <c r="E1517" s="65"/>
      <c r="F1517" s="65"/>
      <c r="G1517" s="65"/>
    </row>
    <row r="1518">
      <c r="A1518" s="65"/>
      <c r="B1518" s="65"/>
      <c r="C1518" s="65"/>
      <c r="D1518" s="65"/>
      <c r="E1518" s="65"/>
      <c r="F1518" s="65"/>
      <c r="G1518" s="65"/>
    </row>
    <row r="1519">
      <c r="A1519" s="65"/>
      <c r="B1519" s="65"/>
      <c r="C1519" s="65"/>
      <c r="D1519" s="65"/>
      <c r="E1519" s="65"/>
      <c r="F1519" s="65"/>
      <c r="G1519" s="65"/>
    </row>
    <row r="1520">
      <c r="A1520" s="65"/>
      <c r="B1520" s="65"/>
      <c r="C1520" s="65"/>
      <c r="D1520" s="65"/>
      <c r="E1520" s="65"/>
      <c r="F1520" s="65"/>
      <c r="G1520" s="65"/>
    </row>
    <row r="1521">
      <c r="A1521" s="65"/>
      <c r="B1521" s="65"/>
      <c r="C1521" s="65"/>
      <c r="D1521" s="65"/>
      <c r="E1521" s="65"/>
      <c r="F1521" s="65"/>
      <c r="G1521" s="65"/>
    </row>
    <row r="1522">
      <c r="A1522" s="65"/>
      <c r="B1522" s="65"/>
      <c r="C1522" s="65"/>
      <c r="D1522" s="65"/>
      <c r="E1522" s="65"/>
      <c r="F1522" s="65"/>
      <c r="G1522" s="65"/>
    </row>
    <row r="1523">
      <c r="A1523" s="65"/>
      <c r="B1523" s="65"/>
      <c r="C1523" s="65"/>
      <c r="D1523" s="65"/>
      <c r="E1523" s="65"/>
      <c r="F1523" s="65"/>
      <c r="G1523" s="65"/>
    </row>
    <row r="1524">
      <c r="A1524" s="65"/>
      <c r="B1524" s="65"/>
      <c r="C1524" s="65"/>
      <c r="D1524" s="65"/>
      <c r="E1524" s="65"/>
      <c r="F1524" s="65"/>
      <c r="G1524" s="65"/>
    </row>
    <row r="1525">
      <c r="A1525" s="65"/>
      <c r="B1525" s="65"/>
      <c r="C1525" s="65"/>
      <c r="D1525" s="65"/>
      <c r="E1525" s="65"/>
      <c r="F1525" s="65"/>
      <c r="G1525" s="65"/>
    </row>
    <row r="1526">
      <c r="A1526" s="65"/>
      <c r="B1526" s="65"/>
      <c r="C1526" s="65"/>
      <c r="D1526" s="65"/>
      <c r="E1526" s="65"/>
      <c r="F1526" s="65"/>
      <c r="G1526" s="65"/>
    </row>
    <row r="1527">
      <c r="A1527" s="65"/>
      <c r="B1527" s="65"/>
      <c r="C1527" s="65"/>
      <c r="D1527" s="65"/>
      <c r="E1527" s="65"/>
      <c r="F1527" s="65"/>
      <c r="G1527" s="65"/>
    </row>
    <row r="1528">
      <c r="A1528" s="65"/>
      <c r="B1528" s="65"/>
      <c r="C1528" s="65"/>
      <c r="D1528" s="65"/>
      <c r="E1528" s="65"/>
      <c r="F1528" s="65"/>
      <c r="G1528" s="65"/>
    </row>
    <row r="1529">
      <c r="A1529" s="65"/>
      <c r="B1529" s="65"/>
      <c r="C1529" s="65"/>
      <c r="D1529" s="65"/>
      <c r="E1529" s="65"/>
      <c r="F1529" s="65"/>
      <c r="G1529" s="65"/>
    </row>
    <row r="1530">
      <c r="A1530" s="65"/>
      <c r="B1530" s="65"/>
      <c r="C1530" s="65"/>
      <c r="D1530" s="65"/>
      <c r="E1530" s="65"/>
      <c r="F1530" s="65"/>
      <c r="G1530" s="65"/>
    </row>
    <row r="1531">
      <c r="A1531" s="65"/>
      <c r="B1531" s="65"/>
      <c r="C1531" s="65"/>
      <c r="D1531" s="65"/>
      <c r="E1531" s="65"/>
      <c r="F1531" s="65"/>
      <c r="G1531" s="65"/>
    </row>
    <row r="1532">
      <c r="A1532" s="65"/>
      <c r="B1532" s="65"/>
      <c r="C1532" s="65"/>
      <c r="D1532" s="65"/>
      <c r="E1532" s="65"/>
      <c r="F1532" s="65"/>
      <c r="G1532" s="65"/>
    </row>
    <row r="1533">
      <c r="A1533" s="65"/>
      <c r="B1533" s="65"/>
      <c r="C1533" s="65"/>
      <c r="D1533" s="65"/>
      <c r="E1533" s="65"/>
      <c r="F1533" s="65"/>
      <c r="G1533" s="65"/>
    </row>
    <row r="1534">
      <c r="A1534" s="65"/>
      <c r="B1534" s="65"/>
      <c r="C1534" s="65"/>
      <c r="D1534" s="65"/>
      <c r="E1534" s="65"/>
      <c r="F1534" s="65"/>
      <c r="G1534" s="65"/>
    </row>
    <row r="1535">
      <c r="A1535" s="65"/>
      <c r="B1535" s="65"/>
      <c r="C1535" s="65"/>
      <c r="D1535" s="65"/>
      <c r="E1535" s="65"/>
      <c r="F1535" s="65"/>
      <c r="G1535" s="65"/>
    </row>
    <row r="1536">
      <c r="A1536" s="65"/>
      <c r="B1536" s="65"/>
      <c r="C1536" s="65"/>
      <c r="D1536" s="65"/>
      <c r="E1536" s="65"/>
      <c r="F1536" s="65"/>
      <c r="G1536" s="65"/>
    </row>
    <row r="1537">
      <c r="A1537" s="65"/>
      <c r="B1537" s="65"/>
      <c r="C1537" s="65"/>
      <c r="D1537" s="65"/>
      <c r="E1537" s="65"/>
      <c r="F1537" s="65"/>
      <c r="G1537" s="65"/>
    </row>
    <row r="1538">
      <c r="A1538" s="65"/>
      <c r="B1538" s="65"/>
      <c r="C1538" s="65"/>
      <c r="D1538" s="65"/>
      <c r="E1538" s="65"/>
      <c r="F1538" s="65"/>
      <c r="G1538" s="65"/>
    </row>
    <row r="1539">
      <c r="A1539" s="65"/>
      <c r="B1539" s="65"/>
      <c r="C1539" s="65"/>
      <c r="D1539" s="65"/>
      <c r="E1539" s="65"/>
      <c r="F1539" s="65"/>
      <c r="G1539" s="65"/>
    </row>
    <row r="1540">
      <c r="A1540" s="65"/>
      <c r="B1540" s="65"/>
      <c r="C1540" s="65"/>
      <c r="D1540" s="65"/>
      <c r="E1540" s="65"/>
      <c r="F1540" s="65"/>
      <c r="G1540" s="65"/>
    </row>
    <row r="1541">
      <c r="A1541" s="65"/>
      <c r="B1541" s="65"/>
      <c r="C1541" s="65"/>
      <c r="D1541" s="65"/>
      <c r="E1541" s="65"/>
      <c r="F1541" s="65"/>
      <c r="G1541" s="65"/>
    </row>
    <row r="1542">
      <c r="A1542" s="65"/>
      <c r="B1542" s="65"/>
      <c r="C1542" s="65"/>
      <c r="D1542" s="65"/>
      <c r="E1542" s="65"/>
      <c r="F1542" s="65"/>
      <c r="G1542" s="65"/>
    </row>
    <row r="1543">
      <c r="A1543" s="65"/>
      <c r="B1543" s="65"/>
      <c r="C1543" s="65"/>
      <c r="D1543" s="65"/>
      <c r="E1543" s="65"/>
      <c r="F1543" s="65"/>
      <c r="G1543" s="65"/>
    </row>
    <row r="1544">
      <c r="A1544" s="65"/>
      <c r="B1544" s="65"/>
      <c r="C1544" s="65"/>
      <c r="D1544" s="65"/>
      <c r="E1544" s="65"/>
      <c r="F1544" s="65"/>
      <c r="G1544" s="65"/>
    </row>
    <row r="1545">
      <c r="A1545" s="65"/>
      <c r="B1545" s="65"/>
      <c r="C1545" s="65"/>
      <c r="D1545" s="65"/>
      <c r="E1545" s="65"/>
      <c r="F1545" s="65"/>
      <c r="G1545" s="65"/>
    </row>
    <row r="1546">
      <c r="A1546" s="65"/>
      <c r="B1546" s="65"/>
      <c r="C1546" s="65"/>
      <c r="D1546" s="65"/>
      <c r="E1546" s="65"/>
      <c r="F1546" s="65"/>
      <c r="G1546" s="65"/>
    </row>
    <row r="1547">
      <c r="A1547" s="65"/>
      <c r="B1547" s="65"/>
      <c r="C1547" s="65"/>
      <c r="D1547" s="65"/>
      <c r="E1547" s="65"/>
      <c r="F1547" s="65"/>
      <c r="G1547" s="65"/>
    </row>
    <row r="1548">
      <c r="A1548" s="65"/>
      <c r="B1548" s="65"/>
      <c r="C1548" s="65"/>
      <c r="D1548" s="65"/>
      <c r="E1548" s="65"/>
      <c r="F1548" s="65"/>
      <c r="G1548" s="65"/>
    </row>
    <row r="1549">
      <c r="A1549" s="65"/>
      <c r="B1549" s="65"/>
      <c r="C1549" s="65"/>
      <c r="D1549" s="65"/>
      <c r="E1549" s="65"/>
      <c r="F1549" s="65"/>
      <c r="G1549" s="65"/>
    </row>
    <row r="1550">
      <c r="A1550" s="65"/>
      <c r="B1550" s="65"/>
      <c r="C1550" s="65"/>
      <c r="D1550" s="65"/>
      <c r="E1550" s="65"/>
      <c r="F1550" s="65"/>
      <c r="G1550" s="65"/>
    </row>
    <row r="1551">
      <c r="A1551" s="65"/>
      <c r="B1551" s="65"/>
      <c r="C1551" s="65"/>
      <c r="D1551" s="65"/>
      <c r="E1551" s="65"/>
      <c r="F1551" s="65"/>
      <c r="G1551" s="65"/>
    </row>
    <row r="1552">
      <c r="A1552" s="65"/>
      <c r="B1552" s="65"/>
      <c r="C1552" s="65"/>
      <c r="D1552" s="65"/>
      <c r="E1552" s="65"/>
      <c r="F1552" s="65"/>
      <c r="G1552" s="65"/>
    </row>
    <row r="1553">
      <c r="A1553" s="65"/>
      <c r="B1553" s="65"/>
      <c r="C1553" s="65"/>
      <c r="D1553" s="65"/>
      <c r="E1553" s="65"/>
      <c r="F1553" s="65"/>
      <c r="G1553" s="65"/>
    </row>
    <row r="1554">
      <c r="A1554" s="65"/>
      <c r="B1554" s="65"/>
      <c r="C1554" s="65"/>
      <c r="D1554" s="65"/>
      <c r="E1554" s="65"/>
      <c r="F1554" s="65"/>
      <c r="G1554" s="65"/>
    </row>
    <row r="1555">
      <c r="A1555" s="65"/>
      <c r="B1555" s="65"/>
      <c r="C1555" s="65"/>
      <c r="D1555" s="65"/>
      <c r="E1555" s="65"/>
      <c r="F1555" s="65"/>
      <c r="G1555" s="65"/>
    </row>
    <row r="1556">
      <c r="A1556" s="65"/>
      <c r="B1556" s="65"/>
      <c r="C1556" s="65"/>
      <c r="D1556" s="65"/>
      <c r="E1556" s="65"/>
      <c r="F1556" s="65"/>
      <c r="G1556" s="65"/>
    </row>
    <row r="1557">
      <c r="A1557" s="65"/>
      <c r="B1557" s="65"/>
      <c r="C1557" s="65"/>
      <c r="D1557" s="65"/>
      <c r="E1557" s="65"/>
      <c r="F1557" s="65"/>
      <c r="G1557" s="65"/>
    </row>
    <row r="1558">
      <c r="A1558" s="65"/>
      <c r="B1558" s="65"/>
      <c r="C1558" s="65"/>
      <c r="D1558" s="65"/>
      <c r="E1558" s="65"/>
      <c r="F1558" s="65"/>
      <c r="G1558" s="65"/>
    </row>
    <row r="1559">
      <c r="A1559" s="65"/>
      <c r="B1559" s="65"/>
      <c r="C1559" s="65"/>
      <c r="D1559" s="65"/>
      <c r="E1559" s="65"/>
      <c r="F1559" s="65"/>
      <c r="G1559" s="65"/>
    </row>
    <row r="1560">
      <c r="A1560" s="65"/>
      <c r="B1560" s="65"/>
      <c r="C1560" s="65"/>
      <c r="D1560" s="65"/>
      <c r="E1560" s="65"/>
      <c r="F1560" s="65"/>
      <c r="G1560" s="65"/>
    </row>
    <row r="1561">
      <c r="A1561" s="65"/>
      <c r="B1561" s="65"/>
      <c r="C1561" s="65"/>
      <c r="D1561" s="65"/>
      <c r="E1561" s="65"/>
      <c r="F1561" s="65"/>
      <c r="G1561" s="65"/>
    </row>
    <row r="1562">
      <c r="A1562" s="65"/>
      <c r="B1562" s="65"/>
      <c r="C1562" s="65"/>
      <c r="D1562" s="65"/>
      <c r="E1562" s="65"/>
      <c r="F1562" s="65"/>
      <c r="G1562" s="65"/>
    </row>
    <row r="1563">
      <c r="A1563" s="65"/>
      <c r="B1563" s="65"/>
      <c r="C1563" s="65"/>
      <c r="D1563" s="65"/>
      <c r="E1563" s="65"/>
      <c r="F1563" s="65"/>
      <c r="G1563" s="65"/>
    </row>
    <row r="1564">
      <c r="A1564" s="65"/>
      <c r="B1564" s="65"/>
      <c r="C1564" s="65"/>
      <c r="D1564" s="65"/>
      <c r="E1564" s="65"/>
      <c r="F1564" s="65"/>
      <c r="G1564" s="65"/>
    </row>
    <row r="1565">
      <c r="A1565" s="65"/>
      <c r="B1565" s="65"/>
      <c r="C1565" s="65"/>
      <c r="D1565" s="65"/>
      <c r="E1565" s="65"/>
      <c r="F1565" s="65"/>
      <c r="G1565" s="65"/>
    </row>
    <row r="1566">
      <c r="A1566" s="65"/>
      <c r="B1566" s="65"/>
      <c r="C1566" s="65"/>
      <c r="D1566" s="65"/>
      <c r="E1566" s="65"/>
      <c r="F1566" s="65"/>
      <c r="G1566" s="65"/>
    </row>
    <row r="1567">
      <c r="A1567" s="65"/>
      <c r="B1567" s="65"/>
      <c r="C1567" s="65"/>
      <c r="D1567" s="65"/>
      <c r="E1567" s="65"/>
      <c r="F1567" s="65"/>
      <c r="G1567" s="65"/>
    </row>
    <row r="1568">
      <c r="A1568" s="65"/>
      <c r="B1568" s="65"/>
      <c r="C1568" s="65"/>
      <c r="D1568" s="65"/>
      <c r="E1568" s="65"/>
      <c r="F1568" s="65"/>
      <c r="G1568" s="65"/>
    </row>
    <row r="1569">
      <c r="A1569" s="65"/>
      <c r="B1569" s="65"/>
      <c r="C1569" s="65"/>
      <c r="D1569" s="65"/>
      <c r="E1569" s="65"/>
      <c r="F1569" s="65"/>
      <c r="G1569" s="65"/>
    </row>
    <row r="1570">
      <c r="A1570" s="65"/>
      <c r="B1570" s="65"/>
      <c r="C1570" s="65"/>
      <c r="D1570" s="65"/>
      <c r="E1570" s="65"/>
      <c r="F1570" s="65"/>
      <c r="G1570" s="65"/>
    </row>
    <row r="1571">
      <c r="A1571" s="65"/>
      <c r="B1571" s="65"/>
      <c r="C1571" s="65"/>
      <c r="D1571" s="65"/>
      <c r="E1571" s="65"/>
      <c r="F1571" s="65"/>
      <c r="G1571" s="65"/>
    </row>
    <row r="1572">
      <c r="A1572" s="65"/>
      <c r="B1572" s="65"/>
      <c r="C1572" s="65"/>
      <c r="D1572" s="65"/>
      <c r="E1572" s="65"/>
      <c r="F1572" s="65"/>
      <c r="G1572" s="65"/>
    </row>
    <row r="1573">
      <c r="A1573" s="65"/>
      <c r="B1573" s="65"/>
      <c r="C1573" s="65"/>
      <c r="D1573" s="65"/>
      <c r="E1573" s="65"/>
      <c r="F1573" s="65"/>
      <c r="G1573" s="65"/>
    </row>
    <row r="1574">
      <c r="A1574" s="65"/>
      <c r="B1574" s="65"/>
      <c r="C1574" s="65"/>
      <c r="D1574" s="65"/>
      <c r="E1574" s="65"/>
      <c r="F1574" s="65"/>
      <c r="G1574" s="65"/>
    </row>
    <row r="1575">
      <c r="A1575" s="65"/>
      <c r="B1575" s="65"/>
      <c r="C1575" s="65"/>
      <c r="D1575" s="65"/>
      <c r="E1575" s="65"/>
      <c r="F1575" s="65"/>
      <c r="G1575" s="65"/>
    </row>
    <row r="1576">
      <c r="A1576" s="65"/>
      <c r="B1576" s="65"/>
      <c r="C1576" s="65"/>
      <c r="D1576" s="65"/>
      <c r="E1576" s="65"/>
      <c r="F1576" s="65"/>
      <c r="G1576" s="65"/>
    </row>
    <row r="1577">
      <c r="A1577" s="65"/>
      <c r="B1577" s="65"/>
      <c r="C1577" s="65"/>
      <c r="D1577" s="65"/>
      <c r="E1577" s="65"/>
      <c r="F1577" s="65"/>
      <c r="G1577" s="65"/>
    </row>
    <row r="1578">
      <c r="A1578" s="65"/>
      <c r="B1578" s="65"/>
      <c r="C1578" s="65"/>
      <c r="D1578" s="65"/>
      <c r="E1578" s="65"/>
      <c r="F1578" s="65"/>
      <c r="G1578" s="65"/>
    </row>
    <row r="1579">
      <c r="A1579" s="65"/>
      <c r="B1579" s="65"/>
      <c r="C1579" s="65"/>
      <c r="D1579" s="65"/>
      <c r="E1579" s="65"/>
      <c r="F1579" s="65"/>
      <c r="G1579" s="65"/>
    </row>
    <row r="1580">
      <c r="A1580" s="65"/>
      <c r="B1580" s="65"/>
      <c r="C1580" s="65"/>
      <c r="D1580" s="65"/>
      <c r="E1580" s="65"/>
      <c r="F1580" s="65"/>
      <c r="G1580" s="65"/>
    </row>
    <row r="1581">
      <c r="A1581" s="65"/>
      <c r="B1581" s="65"/>
      <c r="C1581" s="65"/>
      <c r="D1581" s="65"/>
      <c r="E1581" s="65"/>
      <c r="F1581" s="65"/>
      <c r="G1581" s="65"/>
    </row>
    <row r="1582">
      <c r="A1582" s="65"/>
      <c r="B1582" s="65"/>
      <c r="C1582" s="65"/>
      <c r="D1582" s="65"/>
      <c r="E1582" s="65"/>
      <c r="F1582" s="65"/>
      <c r="G1582" s="65"/>
    </row>
    <row r="1583">
      <c r="A1583" s="65"/>
      <c r="B1583" s="65"/>
      <c r="C1583" s="65"/>
      <c r="D1583" s="65"/>
      <c r="E1583" s="65"/>
      <c r="F1583" s="65"/>
      <c r="G1583" s="65"/>
    </row>
    <row r="1584">
      <c r="A1584" s="65"/>
      <c r="B1584" s="65"/>
      <c r="C1584" s="65"/>
      <c r="D1584" s="65"/>
      <c r="E1584" s="65"/>
      <c r="F1584" s="65"/>
      <c r="G1584" s="65"/>
    </row>
    <row r="1585">
      <c r="A1585" s="65"/>
      <c r="B1585" s="65"/>
      <c r="C1585" s="65"/>
      <c r="D1585" s="65"/>
      <c r="E1585" s="65"/>
      <c r="F1585" s="65"/>
      <c r="G1585" s="65"/>
    </row>
    <row r="1586">
      <c r="A1586" s="65"/>
      <c r="B1586" s="65"/>
      <c r="C1586" s="65"/>
      <c r="D1586" s="65"/>
      <c r="E1586" s="65"/>
      <c r="F1586" s="65"/>
      <c r="G1586" s="65"/>
    </row>
    <row r="1587">
      <c r="A1587" s="65"/>
      <c r="B1587" s="65"/>
      <c r="C1587" s="65"/>
      <c r="D1587" s="65"/>
      <c r="E1587" s="65"/>
      <c r="F1587" s="65"/>
      <c r="G1587" s="65"/>
    </row>
    <row r="1588">
      <c r="A1588" s="65"/>
      <c r="B1588" s="65"/>
      <c r="C1588" s="65"/>
      <c r="D1588" s="65"/>
      <c r="E1588" s="65"/>
      <c r="F1588" s="65"/>
      <c r="G1588" s="65"/>
    </row>
    <row r="1589">
      <c r="A1589" s="65"/>
      <c r="B1589" s="65"/>
      <c r="C1589" s="65"/>
      <c r="D1589" s="65"/>
      <c r="E1589" s="65"/>
      <c r="F1589" s="65"/>
      <c r="G1589" s="65"/>
    </row>
    <row r="1590">
      <c r="A1590" s="65"/>
      <c r="B1590" s="65"/>
      <c r="C1590" s="65"/>
      <c r="D1590" s="65"/>
      <c r="E1590" s="65"/>
      <c r="F1590" s="65"/>
      <c r="G1590" s="65"/>
    </row>
    <row r="1591">
      <c r="A1591" s="65"/>
      <c r="B1591" s="65"/>
      <c r="C1591" s="65"/>
      <c r="D1591" s="65"/>
      <c r="E1591" s="65"/>
      <c r="F1591" s="65"/>
      <c r="G1591" s="65"/>
    </row>
    <row r="1592">
      <c r="A1592" s="65"/>
      <c r="B1592" s="65"/>
      <c r="C1592" s="65"/>
      <c r="D1592" s="65"/>
      <c r="E1592" s="65"/>
      <c r="F1592" s="65"/>
      <c r="G1592" s="65"/>
    </row>
    <row r="1593">
      <c r="A1593" s="65"/>
      <c r="B1593" s="65"/>
      <c r="C1593" s="65"/>
      <c r="D1593" s="65"/>
      <c r="E1593" s="65"/>
      <c r="F1593" s="65"/>
      <c r="G1593" s="65"/>
    </row>
    <row r="1594">
      <c r="A1594" s="65"/>
      <c r="B1594" s="65"/>
      <c r="C1594" s="65"/>
      <c r="D1594" s="65"/>
      <c r="E1594" s="65"/>
      <c r="F1594" s="65"/>
      <c r="G1594" s="65"/>
    </row>
    <row r="1595">
      <c r="A1595" s="65"/>
      <c r="B1595" s="65"/>
      <c r="C1595" s="65"/>
      <c r="D1595" s="65"/>
      <c r="E1595" s="65"/>
      <c r="F1595" s="65"/>
      <c r="G1595" s="65"/>
    </row>
    <row r="1596">
      <c r="A1596" s="65"/>
      <c r="B1596" s="65"/>
      <c r="C1596" s="65"/>
      <c r="D1596" s="65"/>
      <c r="E1596" s="65"/>
      <c r="F1596" s="65"/>
      <c r="G1596" s="65"/>
    </row>
    <row r="1597">
      <c r="A1597" s="65"/>
      <c r="B1597" s="65"/>
      <c r="C1597" s="65"/>
      <c r="D1597" s="65"/>
      <c r="E1597" s="65"/>
      <c r="F1597" s="65"/>
      <c r="G1597" s="65"/>
    </row>
    <row r="1598">
      <c r="A1598" s="65"/>
      <c r="B1598" s="65"/>
      <c r="C1598" s="65"/>
      <c r="D1598" s="65"/>
      <c r="E1598" s="65"/>
      <c r="F1598" s="65"/>
      <c r="G1598" s="65"/>
    </row>
    <row r="1599">
      <c r="A1599" s="65"/>
      <c r="B1599" s="65"/>
      <c r="C1599" s="65"/>
      <c r="D1599" s="65"/>
      <c r="E1599" s="65"/>
      <c r="F1599" s="65"/>
      <c r="G1599" s="65"/>
    </row>
    <row r="1600">
      <c r="A1600" s="65"/>
      <c r="B1600" s="65"/>
      <c r="C1600" s="65"/>
      <c r="D1600" s="65"/>
      <c r="E1600" s="65"/>
      <c r="F1600" s="65"/>
      <c r="G1600" s="65"/>
    </row>
    <row r="1601">
      <c r="A1601" s="65"/>
      <c r="B1601" s="65"/>
      <c r="C1601" s="65"/>
      <c r="D1601" s="65"/>
      <c r="E1601" s="65"/>
      <c r="F1601" s="65"/>
      <c r="G1601" s="65"/>
    </row>
    <row r="1602">
      <c r="A1602" s="65"/>
      <c r="B1602" s="65"/>
      <c r="C1602" s="65"/>
      <c r="D1602" s="65"/>
      <c r="E1602" s="65"/>
      <c r="F1602" s="65"/>
      <c r="G1602" s="65"/>
    </row>
    <row r="1603">
      <c r="A1603" s="65"/>
      <c r="B1603" s="65"/>
      <c r="C1603" s="65"/>
      <c r="D1603" s="65"/>
      <c r="E1603" s="65"/>
      <c r="F1603" s="65"/>
      <c r="G1603" s="65"/>
    </row>
    <row r="1604">
      <c r="A1604" s="65"/>
      <c r="B1604" s="65"/>
      <c r="C1604" s="65"/>
      <c r="D1604" s="65"/>
      <c r="E1604" s="65"/>
      <c r="F1604" s="65"/>
      <c r="G1604" s="65"/>
    </row>
    <row r="1605">
      <c r="A1605" s="65"/>
      <c r="B1605" s="65"/>
      <c r="C1605" s="65"/>
      <c r="D1605" s="65"/>
      <c r="E1605" s="65"/>
      <c r="F1605" s="65"/>
      <c r="G1605" s="65"/>
    </row>
    <row r="1606">
      <c r="A1606" s="65"/>
      <c r="B1606" s="65"/>
      <c r="C1606" s="65"/>
      <c r="D1606" s="65"/>
      <c r="E1606" s="65"/>
      <c r="F1606" s="65"/>
      <c r="G1606" s="65"/>
    </row>
    <row r="1607">
      <c r="A1607" s="65"/>
      <c r="B1607" s="65"/>
      <c r="C1607" s="65"/>
      <c r="D1607" s="65"/>
      <c r="E1607" s="65"/>
      <c r="F1607" s="65"/>
      <c r="G1607" s="65"/>
    </row>
    <row r="1608">
      <c r="A1608" s="65"/>
      <c r="B1608" s="65"/>
      <c r="C1608" s="65"/>
      <c r="D1608" s="65"/>
      <c r="E1608" s="65"/>
      <c r="F1608" s="65"/>
      <c r="G1608" s="65"/>
    </row>
    <row r="1609">
      <c r="A1609" s="65"/>
      <c r="B1609" s="65"/>
      <c r="C1609" s="65"/>
      <c r="D1609" s="65"/>
      <c r="E1609" s="65"/>
      <c r="F1609" s="65"/>
      <c r="G1609" s="65"/>
    </row>
    <row r="1610">
      <c r="A1610" s="65"/>
      <c r="B1610" s="65"/>
      <c r="C1610" s="65"/>
      <c r="D1610" s="65"/>
      <c r="E1610" s="65"/>
      <c r="F1610" s="65"/>
      <c r="G1610" s="65"/>
    </row>
    <row r="1611">
      <c r="A1611" s="65"/>
      <c r="B1611" s="65"/>
      <c r="C1611" s="65"/>
      <c r="D1611" s="65"/>
      <c r="E1611" s="65"/>
      <c r="F1611" s="65"/>
      <c r="G1611" s="65"/>
    </row>
    <row r="1612">
      <c r="A1612" s="65"/>
      <c r="B1612" s="65"/>
      <c r="C1612" s="65"/>
      <c r="D1612" s="65"/>
      <c r="E1612" s="65"/>
      <c r="F1612" s="65"/>
      <c r="G1612" s="65"/>
    </row>
    <row r="1613">
      <c r="A1613" s="65"/>
      <c r="B1613" s="65"/>
      <c r="C1613" s="65"/>
      <c r="D1613" s="65"/>
      <c r="E1613" s="65"/>
      <c r="F1613" s="65"/>
      <c r="G1613" s="65"/>
    </row>
    <row r="1614">
      <c r="A1614" s="65"/>
      <c r="B1614" s="65"/>
      <c r="C1614" s="65"/>
      <c r="D1614" s="65"/>
      <c r="E1614" s="65"/>
      <c r="F1614" s="65"/>
      <c r="G1614" s="65"/>
    </row>
    <row r="1615">
      <c r="A1615" s="65"/>
      <c r="B1615" s="65"/>
      <c r="C1615" s="65"/>
      <c r="D1615" s="65"/>
      <c r="E1615" s="65"/>
      <c r="F1615" s="65"/>
      <c r="G1615" s="65"/>
    </row>
    <row r="1616">
      <c r="A1616" s="65"/>
      <c r="B1616" s="65"/>
      <c r="C1616" s="65"/>
      <c r="D1616" s="65"/>
      <c r="E1616" s="65"/>
      <c r="F1616" s="65"/>
      <c r="G1616" s="65"/>
    </row>
    <row r="1617">
      <c r="A1617" s="65"/>
      <c r="B1617" s="65"/>
      <c r="C1617" s="65"/>
      <c r="D1617" s="65"/>
      <c r="E1617" s="65"/>
      <c r="F1617" s="65"/>
      <c r="G1617" s="65"/>
    </row>
    <row r="1618">
      <c r="A1618" s="65"/>
      <c r="B1618" s="65"/>
      <c r="C1618" s="65"/>
      <c r="D1618" s="65"/>
      <c r="E1618" s="65"/>
      <c r="F1618" s="65"/>
      <c r="G1618" s="65"/>
    </row>
    <row r="1619">
      <c r="A1619" s="65"/>
      <c r="B1619" s="65"/>
      <c r="C1619" s="65"/>
      <c r="D1619" s="65"/>
      <c r="E1619" s="65"/>
      <c r="F1619" s="65"/>
      <c r="G1619" s="65"/>
    </row>
    <row r="1620">
      <c r="A1620" s="65"/>
      <c r="B1620" s="65"/>
      <c r="C1620" s="65"/>
      <c r="D1620" s="65"/>
      <c r="E1620" s="65"/>
      <c r="F1620" s="65"/>
      <c r="G1620" s="65"/>
    </row>
    <row r="1621">
      <c r="A1621" s="65"/>
      <c r="B1621" s="65"/>
      <c r="C1621" s="65"/>
      <c r="D1621" s="65"/>
      <c r="E1621" s="65"/>
      <c r="F1621" s="65"/>
      <c r="G1621" s="65"/>
    </row>
    <row r="1622">
      <c r="A1622" s="65"/>
      <c r="B1622" s="65"/>
      <c r="C1622" s="65"/>
      <c r="D1622" s="65"/>
      <c r="E1622" s="65"/>
      <c r="F1622" s="65"/>
      <c r="G1622" s="65"/>
    </row>
    <row r="1623">
      <c r="A1623" s="65"/>
      <c r="B1623" s="65"/>
      <c r="C1623" s="65"/>
      <c r="D1623" s="65"/>
      <c r="E1623" s="65"/>
      <c r="F1623" s="65"/>
      <c r="G1623" s="65"/>
    </row>
    <row r="1624">
      <c r="A1624" s="65"/>
      <c r="B1624" s="65"/>
      <c r="C1624" s="65"/>
      <c r="D1624" s="65"/>
      <c r="E1624" s="65"/>
      <c r="F1624" s="65"/>
      <c r="G1624" s="65"/>
    </row>
    <row r="1625">
      <c r="A1625" s="65"/>
      <c r="B1625" s="65"/>
      <c r="C1625" s="65"/>
      <c r="D1625" s="65"/>
      <c r="E1625" s="65"/>
      <c r="F1625" s="65"/>
      <c r="G1625" s="65"/>
    </row>
    <row r="1626">
      <c r="A1626" s="65"/>
      <c r="B1626" s="65"/>
      <c r="C1626" s="65"/>
      <c r="D1626" s="65"/>
      <c r="E1626" s="65"/>
      <c r="F1626" s="65"/>
      <c r="G1626" s="65"/>
    </row>
    <row r="1627">
      <c r="A1627" s="65"/>
      <c r="B1627" s="65"/>
      <c r="C1627" s="65"/>
      <c r="D1627" s="65"/>
      <c r="E1627" s="65"/>
      <c r="F1627" s="65"/>
      <c r="G1627" s="65"/>
    </row>
    <row r="1628">
      <c r="A1628" s="65"/>
      <c r="B1628" s="65"/>
      <c r="C1628" s="65"/>
      <c r="D1628" s="65"/>
      <c r="E1628" s="65"/>
      <c r="F1628" s="65"/>
      <c r="G1628" s="65"/>
    </row>
    <row r="1629">
      <c r="A1629" s="65"/>
      <c r="B1629" s="65"/>
      <c r="C1629" s="65"/>
      <c r="D1629" s="65"/>
      <c r="E1629" s="65"/>
      <c r="F1629" s="65"/>
      <c r="G1629" s="65"/>
    </row>
    <row r="1630">
      <c r="A1630" s="65"/>
      <c r="B1630" s="65"/>
      <c r="C1630" s="65"/>
      <c r="D1630" s="65"/>
      <c r="E1630" s="65"/>
      <c r="F1630" s="65"/>
      <c r="G1630" s="65"/>
    </row>
    <row r="1631">
      <c r="A1631" s="65"/>
      <c r="B1631" s="65"/>
      <c r="C1631" s="65"/>
      <c r="D1631" s="65"/>
      <c r="E1631" s="65"/>
      <c r="F1631" s="65"/>
      <c r="G1631" s="65"/>
    </row>
    <row r="1632">
      <c r="A1632" s="65"/>
      <c r="B1632" s="65"/>
      <c r="C1632" s="65"/>
      <c r="D1632" s="65"/>
      <c r="E1632" s="65"/>
      <c r="F1632" s="65"/>
      <c r="G1632" s="65"/>
    </row>
    <row r="1633">
      <c r="A1633" s="65"/>
      <c r="B1633" s="65"/>
      <c r="C1633" s="65"/>
      <c r="D1633" s="65"/>
      <c r="E1633" s="65"/>
      <c r="F1633" s="65"/>
      <c r="G1633" s="65"/>
    </row>
    <row r="1634">
      <c r="A1634" s="65"/>
      <c r="B1634" s="65"/>
      <c r="C1634" s="65"/>
      <c r="D1634" s="65"/>
      <c r="E1634" s="65"/>
      <c r="F1634" s="65"/>
      <c r="G1634" s="65"/>
    </row>
    <row r="1635">
      <c r="A1635" s="65"/>
      <c r="B1635" s="65"/>
      <c r="C1635" s="65"/>
      <c r="D1635" s="65"/>
      <c r="E1635" s="65"/>
      <c r="F1635" s="65"/>
      <c r="G1635" s="65"/>
    </row>
    <row r="1636">
      <c r="A1636" s="65"/>
      <c r="B1636" s="65"/>
      <c r="C1636" s="65"/>
      <c r="D1636" s="65"/>
      <c r="E1636" s="65"/>
      <c r="F1636" s="65"/>
      <c r="G1636" s="65"/>
    </row>
    <row r="1637">
      <c r="A1637" s="65"/>
      <c r="B1637" s="65"/>
      <c r="C1637" s="65"/>
      <c r="D1637" s="65"/>
      <c r="E1637" s="65"/>
      <c r="F1637" s="65"/>
      <c r="G1637" s="65"/>
    </row>
    <row r="1638">
      <c r="A1638" s="65"/>
      <c r="B1638" s="65"/>
      <c r="C1638" s="65"/>
      <c r="D1638" s="65"/>
      <c r="E1638" s="65"/>
      <c r="F1638" s="65"/>
      <c r="G1638" s="65"/>
    </row>
    <row r="1639">
      <c r="A1639" s="65"/>
      <c r="B1639" s="65"/>
      <c r="C1639" s="65"/>
      <c r="D1639" s="65"/>
      <c r="E1639" s="65"/>
      <c r="F1639" s="65"/>
      <c r="G1639" s="65"/>
    </row>
    <row r="1640">
      <c r="A1640" s="65"/>
      <c r="B1640" s="65"/>
      <c r="C1640" s="65"/>
      <c r="D1640" s="65"/>
      <c r="E1640" s="65"/>
      <c r="F1640" s="65"/>
      <c r="G1640" s="65"/>
    </row>
    <row r="1641">
      <c r="A1641" s="65"/>
      <c r="B1641" s="65"/>
      <c r="C1641" s="65"/>
      <c r="D1641" s="65"/>
      <c r="E1641" s="65"/>
      <c r="F1641" s="65"/>
      <c r="G1641" s="65"/>
    </row>
    <row r="1642">
      <c r="A1642" s="65"/>
      <c r="B1642" s="65"/>
      <c r="C1642" s="65"/>
      <c r="D1642" s="65"/>
      <c r="E1642" s="65"/>
      <c r="F1642" s="65"/>
      <c r="G1642" s="65"/>
    </row>
    <row r="1643">
      <c r="A1643" s="65"/>
      <c r="B1643" s="65"/>
      <c r="C1643" s="65"/>
      <c r="D1643" s="65"/>
      <c r="E1643" s="65"/>
      <c r="F1643" s="65"/>
      <c r="G1643" s="65"/>
    </row>
    <row r="1644">
      <c r="A1644" s="65"/>
      <c r="B1644" s="65"/>
      <c r="C1644" s="65"/>
      <c r="D1644" s="65"/>
      <c r="E1644" s="65"/>
      <c r="F1644" s="65"/>
      <c r="G1644" s="65"/>
    </row>
    <row r="1645">
      <c r="A1645" s="65"/>
      <c r="B1645" s="65"/>
      <c r="C1645" s="65"/>
      <c r="D1645" s="65"/>
      <c r="E1645" s="65"/>
      <c r="F1645" s="65"/>
      <c r="G1645" s="65"/>
    </row>
    <row r="1646">
      <c r="A1646" s="65"/>
      <c r="B1646" s="65"/>
      <c r="C1646" s="65"/>
      <c r="D1646" s="65"/>
      <c r="E1646" s="65"/>
      <c r="F1646" s="65"/>
      <c r="G1646" s="65"/>
    </row>
    <row r="1647">
      <c r="A1647" s="65"/>
      <c r="B1647" s="65"/>
      <c r="C1647" s="65"/>
      <c r="D1647" s="65"/>
      <c r="E1647" s="65"/>
      <c r="F1647" s="65"/>
      <c r="G1647" s="65"/>
    </row>
    <row r="1648">
      <c r="A1648" s="65"/>
      <c r="B1648" s="65"/>
      <c r="C1648" s="65"/>
      <c r="D1648" s="65"/>
      <c r="E1648" s="65"/>
      <c r="F1648" s="65"/>
      <c r="G1648" s="65"/>
    </row>
    <row r="1649">
      <c r="A1649" s="65"/>
      <c r="B1649" s="65"/>
      <c r="C1649" s="65"/>
      <c r="D1649" s="65"/>
      <c r="E1649" s="65"/>
      <c r="F1649" s="65"/>
      <c r="G1649" s="65"/>
    </row>
    <row r="1650">
      <c r="A1650" s="65"/>
      <c r="B1650" s="65"/>
      <c r="C1650" s="65"/>
      <c r="D1650" s="65"/>
      <c r="E1650" s="65"/>
      <c r="F1650" s="65"/>
      <c r="G1650" s="65"/>
    </row>
    <row r="1651">
      <c r="A1651" s="65"/>
      <c r="B1651" s="65"/>
      <c r="C1651" s="65"/>
      <c r="D1651" s="65"/>
      <c r="E1651" s="65"/>
      <c r="F1651" s="65"/>
      <c r="G1651" s="65"/>
    </row>
    <row r="1652">
      <c r="A1652" s="65"/>
      <c r="B1652" s="65"/>
      <c r="C1652" s="65"/>
      <c r="D1652" s="65"/>
      <c r="E1652" s="65"/>
      <c r="F1652" s="65"/>
      <c r="G1652" s="65"/>
    </row>
    <row r="1653">
      <c r="A1653" s="65"/>
      <c r="B1653" s="65"/>
      <c r="C1653" s="65"/>
      <c r="D1653" s="65"/>
      <c r="E1653" s="65"/>
      <c r="F1653" s="65"/>
      <c r="G1653" s="65"/>
    </row>
    <row r="1654">
      <c r="A1654" s="65"/>
      <c r="B1654" s="65"/>
      <c r="C1654" s="65"/>
      <c r="D1654" s="65"/>
      <c r="E1654" s="65"/>
      <c r="F1654" s="65"/>
      <c r="G1654" s="65"/>
    </row>
    <row r="1655">
      <c r="A1655" s="65"/>
      <c r="B1655" s="65"/>
      <c r="C1655" s="65"/>
      <c r="D1655" s="65"/>
      <c r="E1655" s="65"/>
      <c r="F1655" s="65"/>
      <c r="G1655" s="65"/>
    </row>
    <row r="1656">
      <c r="A1656" s="65"/>
      <c r="B1656" s="65"/>
      <c r="C1656" s="65"/>
      <c r="D1656" s="65"/>
      <c r="E1656" s="65"/>
      <c r="F1656" s="65"/>
      <c r="G1656" s="65"/>
    </row>
    <row r="1657">
      <c r="A1657" s="65"/>
      <c r="B1657" s="65"/>
      <c r="C1657" s="65"/>
      <c r="D1657" s="65"/>
      <c r="E1657" s="65"/>
      <c r="F1657" s="65"/>
      <c r="G1657" s="65"/>
    </row>
    <row r="1658">
      <c r="A1658" s="65"/>
      <c r="B1658" s="65"/>
      <c r="C1658" s="65"/>
      <c r="D1658" s="65"/>
      <c r="E1658" s="65"/>
      <c r="F1658" s="65"/>
      <c r="G1658" s="65"/>
    </row>
    <row r="1659">
      <c r="A1659" s="65"/>
      <c r="B1659" s="65"/>
      <c r="C1659" s="65"/>
      <c r="D1659" s="65"/>
      <c r="E1659" s="65"/>
      <c r="F1659" s="65"/>
      <c r="G1659" s="65"/>
    </row>
    <row r="1660">
      <c r="A1660" s="65"/>
      <c r="B1660" s="65"/>
      <c r="C1660" s="65"/>
      <c r="D1660" s="65"/>
      <c r="E1660" s="65"/>
      <c r="F1660" s="65"/>
      <c r="G1660" s="65"/>
    </row>
    <row r="1661">
      <c r="A1661" s="65"/>
      <c r="B1661" s="65"/>
      <c r="C1661" s="65"/>
      <c r="D1661" s="65"/>
      <c r="E1661" s="65"/>
      <c r="F1661" s="65"/>
      <c r="G1661" s="65"/>
    </row>
    <row r="1662">
      <c r="A1662" s="65"/>
      <c r="B1662" s="65"/>
      <c r="C1662" s="65"/>
      <c r="D1662" s="65"/>
      <c r="E1662" s="65"/>
      <c r="F1662" s="65"/>
      <c r="G1662" s="65"/>
    </row>
    <row r="1663">
      <c r="A1663" s="65"/>
      <c r="B1663" s="65"/>
      <c r="C1663" s="65"/>
      <c r="D1663" s="65"/>
      <c r="E1663" s="65"/>
      <c r="F1663" s="65"/>
      <c r="G1663" s="65"/>
    </row>
    <row r="1664">
      <c r="A1664" s="65"/>
      <c r="B1664" s="65"/>
      <c r="C1664" s="65"/>
      <c r="D1664" s="65"/>
      <c r="E1664" s="65"/>
      <c r="F1664" s="65"/>
      <c r="G1664" s="65"/>
    </row>
    <row r="1665">
      <c r="A1665" s="65"/>
      <c r="B1665" s="65"/>
      <c r="C1665" s="65"/>
      <c r="D1665" s="65"/>
      <c r="E1665" s="65"/>
      <c r="F1665" s="65"/>
      <c r="G1665" s="65"/>
    </row>
    <row r="1666">
      <c r="A1666" s="65"/>
      <c r="B1666" s="65"/>
      <c r="C1666" s="65"/>
      <c r="D1666" s="65"/>
      <c r="E1666" s="65"/>
      <c r="F1666" s="65"/>
      <c r="G1666" s="65"/>
    </row>
    <row r="1667">
      <c r="A1667" s="65"/>
      <c r="B1667" s="65"/>
      <c r="C1667" s="65"/>
      <c r="D1667" s="65"/>
      <c r="E1667" s="65"/>
      <c r="F1667" s="65"/>
      <c r="G1667" s="65"/>
    </row>
    <row r="1668">
      <c r="A1668" s="65"/>
      <c r="B1668" s="65"/>
      <c r="C1668" s="65"/>
      <c r="D1668" s="65"/>
      <c r="E1668" s="65"/>
      <c r="F1668" s="65"/>
      <c r="G1668" s="65"/>
    </row>
    <row r="1669">
      <c r="A1669" s="65"/>
      <c r="B1669" s="65"/>
      <c r="C1669" s="65"/>
      <c r="D1669" s="65"/>
      <c r="E1669" s="65"/>
      <c r="F1669" s="65"/>
      <c r="G1669" s="65"/>
    </row>
    <row r="1670">
      <c r="A1670" s="65"/>
      <c r="B1670" s="65"/>
      <c r="C1670" s="65"/>
      <c r="D1670" s="65"/>
      <c r="E1670" s="65"/>
      <c r="F1670" s="65"/>
      <c r="G1670" s="65"/>
    </row>
    <row r="1671">
      <c r="A1671" s="65"/>
      <c r="B1671" s="65"/>
      <c r="C1671" s="65"/>
      <c r="D1671" s="65"/>
      <c r="E1671" s="65"/>
      <c r="F1671" s="65"/>
      <c r="G1671" s="65"/>
    </row>
    <row r="1672">
      <c r="A1672" s="65"/>
      <c r="B1672" s="65"/>
      <c r="C1672" s="65"/>
      <c r="D1672" s="65"/>
      <c r="E1672" s="65"/>
      <c r="F1672" s="65"/>
      <c r="G1672" s="65"/>
    </row>
    <row r="1673">
      <c r="A1673" s="65"/>
      <c r="B1673" s="65"/>
      <c r="C1673" s="65"/>
      <c r="D1673" s="65"/>
      <c r="E1673" s="65"/>
      <c r="F1673" s="65"/>
      <c r="G1673" s="65"/>
    </row>
    <row r="1674">
      <c r="A1674" s="65"/>
      <c r="B1674" s="65"/>
      <c r="C1674" s="65"/>
      <c r="D1674" s="65"/>
      <c r="E1674" s="65"/>
      <c r="F1674" s="65"/>
      <c r="G1674" s="65"/>
    </row>
    <row r="1675">
      <c r="A1675" s="65"/>
      <c r="B1675" s="65"/>
      <c r="C1675" s="65"/>
      <c r="D1675" s="65"/>
      <c r="E1675" s="65"/>
      <c r="F1675" s="65"/>
      <c r="G1675" s="65"/>
    </row>
    <row r="1676">
      <c r="A1676" s="65"/>
      <c r="B1676" s="65"/>
      <c r="C1676" s="65"/>
      <c r="D1676" s="65"/>
      <c r="E1676" s="65"/>
      <c r="F1676" s="65"/>
      <c r="G1676" s="65"/>
    </row>
    <row r="1677">
      <c r="A1677" s="65"/>
      <c r="B1677" s="65"/>
      <c r="C1677" s="65"/>
      <c r="D1677" s="65"/>
      <c r="E1677" s="65"/>
      <c r="F1677" s="65"/>
      <c r="G1677" s="65"/>
    </row>
    <row r="1678">
      <c r="A1678" s="65"/>
      <c r="B1678" s="65"/>
      <c r="C1678" s="65"/>
      <c r="D1678" s="65"/>
      <c r="E1678" s="65"/>
      <c r="F1678" s="65"/>
      <c r="G1678" s="65"/>
    </row>
    <row r="1679">
      <c r="A1679" s="65"/>
      <c r="B1679" s="65"/>
      <c r="C1679" s="65"/>
      <c r="D1679" s="65"/>
      <c r="E1679" s="65"/>
      <c r="F1679" s="65"/>
      <c r="G1679" s="65"/>
    </row>
    <row r="1680">
      <c r="A1680" s="65"/>
      <c r="B1680" s="65"/>
      <c r="C1680" s="65"/>
      <c r="D1680" s="65"/>
      <c r="E1680" s="65"/>
      <c r="F1680" s="65"/>
      <c r="G1680" s="65"/>
    </row>
    <row r="1681">
      <c r="A1681" s="65"/>
      <c r="B1681" s="65"/>
      <c r="C1681" s="65"/>
      <c r="D1681" s="65"/>
      <c r="E1681" s="65"/>
      <c r="F1681" s="65"/>
      <c r="G1681" s="65"/>
    </row>
    <row r="1682">
      <c r="A1682" s="65"/>
      <c r="B1682" s="65"/>
      <c r="C1682" s="65"/>
      <c r="D1682" s="65"/>
      <c r="E1682" s="65"/>
      <c r="F1682" s="65"/>
      <c r="G1682" s="65"/>
    </row>
    <row r="1683">
      <c r="A1683" s="65"/>
      <c r="B1683" s="65"/>
      <c r="C1683" s="65"/>
      <c r="D1683" s="65"/>
      <c r="E1683" s="65"/>
      <c r="F1683" s="65"/>
      <c r="G1683" s="65"/>
    </row>
    <row r="1684">
      <c r="A1684" s="65"/>
      <c r="B1684" s="65"/>
      <c r="C1684" s="65"/>
      <c r="D1684" s="65"/>
      <c r="E1684" s="65"/>
      <c r="F1684" s="65"/>
      <c r="G1684" s="65"/>
    </row>
    <row r="1685">
      <c r="A1685" s="65"/>
      <c r="B1685" s="65"/>
      <c r="C1685" s="65"/>
      <c r="D1685" s="65"/>
      <c r="E1685" s="65"/>
      <c r="F1685" s="65"/>
      <c r="G1685" s="65"/>
    </row>
    <row r="1686">
      <c r="A1686" s="65"/>
      <c r="B1686" s="65"/>
      <c r="C1686" s="65"/>
      <c r="D1686" s="65"/>
      <c r="E1686" s="65"/>
      <c r="F1686" s="65"/>
      <c r="G1686" s="65"/>
    </row>
    <row r="1687">
      <c r="A1687" s="65"/>
      <c r="B1687" s="65"/>
      <c r="C1687" s="65"/>
      <c r="D1687" s="65"/>
      <c r="E1687" s="65"/>
      <c r="F1687" s="65"/>
      <c r="G1687" s="65"/>
    </row>
    <row r="1688">
      <c r="A1688" s="65"/>
      <c r="B1688" s="65"/>
      <c r="C1688" s="65"/>
      <c r="D1688" s="65"/>
      <c r="E1688" s="65"/>
      <c r="F1688" s="65"/>
      <c r="G1688" s="65"/>
    </row>
    <row r="1689">
      <c r="A1689" s="65"/>
      <c r="B1689" s="65"/>
      <c r="C1689" s="65"/>
      <c r="D1689" s="65"/>
      <c r="E1689" s="65"/>
      <c r="F1689" s="65"/>
      <c r="G1689" s="65"/>
    </row>
    <row r="1690">
      <c r="A1690" s="65"/>
      <c r="B1690" s="65"/>
      <c r="C1690" s="65"/>
      <c r="D1690" s="65"/>
      <c r="E1690" s="65"/>
      <c r="F1690" s="65"/>
      <c r="G1690" s="65"/>
    </row>
    <row r="1691">
      <c r="A1691" s="65"/>
      <c r="B1691" s="65"/>
      <c r="C1691" s="65"/>
      <c r="D1691" s="65"/>
      <c r="E1691" s="65"/>
      <c r="F1691" s="65"/>
      <c r="G1691" s="65"/>
    </row>
    <row r="1692">
      <c r="A1692" s="65"/>
      <c r="B1692" s="65"/>
      <c r="C1692" s="65"/>
      <c r="D1692" s="65"/>
      <c r="E1692" s="65"/>
      <c r="F1692" s="65"/>
      <c r="G1692" s="65"/>
    </row>
    <row r="1693">
      <c r="A1693" s="65"/>
      <c r="B1693" s="65"/>
      <c r="C1693" s="65"/>
      <c r="D1693" s="65"/>
      <c r="E1693" s="65"/>
      <c r="F1693" s="65"/>
      <c r="G1693" s="65"/>
    </row>
    <row r="1694">
      <c r="A1694" s="65"/>
      <c r="B1694" s="65"/>
      <c r="C1694" s="65"/>
      <c r="D1694" s="65"/>
      <c r="E1694" s="65"/>
      <c r="F1694" s="65"/>
      <c r="G1694" s="65"/>
    </row>
    <row r="1695">
      <c r="A1695" s="65"/>
      <c r="B1695" s="65"/>
      <c r="C1695" s="65"/>
      <c r="D1695" s="65"/>
      <c r="E1695" s="65"/>
      <c r="F1695" s="65"/>
      <c r="G1695" s="65"/>
    </row>
    <row r="1696">
      <c r="A1696" s="65"/>
      <c r="B1696" s="65"/>
      <c r="C1696" s="65"/>
      <c r="D1696" s="65"/>
      <c r="E1696" s="65"/>
      <c r="F1696" s="65"/>
      <c r="G1696" s="65"/>
    </row>
    <row r="1697">
      <c r="A1697" s="65"/>
      <c r="B1697" s="65"/>
      <c r="C1697" s="65"/>
      <c r="D1697" s="65"/>
      <c r="E1697" s="65"/>
      <c r="F1697" s="65"/>
      <c r="G1697" s="65"/>
    </row>
    <row r="1698">
      <c r="A1698" s="65"/>
      <c r="B1698" s="65"/>
      <c r="C1698" s="65"/>
      <c r="D1698" s="65"/>
      <c r="E1698" s="65"/>
      <c r="F1698" s="65"/>
      <c r="G1698" s="65"/>
    </row>
    <row r="1699">
      <c r="A1699" s="65"/>
      <c r="B1699" s="65"/>
      <c r="C1699" s="65"/>
      <c r="D1699" s="65"/>
      <c r="E1699" s="65"/>
      <c r="F1699" s="65"/>
      <c r="G1699" s="65"/>
    </row>
    <row r="1700">
      <c r="A1700" s="65"/>
      <c r="B1700" s="65"/>
      <c r="C1700" s="65"/>
      <c r="D1700" s="65"/>
      <c r="E1700" s="65"/>
      <c r="F1700" s="65"/>
      <c r="G1700" s="65"/>
    </row>
    <row r="1701">
      <c r="A1701" s="65"/>
      <c r="B1701" s="65"/>
      <c r="C1701" s="65"/>
      <c r="D1701" s="65"/>
      <c r="E1701" s="65"/>
      <c r="F1701" s="65"/>
      <c r="G1701" s="65"/>
    </row>
    <row r="1702">
      <c r="A1702" s="65"/>
      <c r="B1702" s="65"/>
      <c r="C1702" s="65"/>
      <c r="D1702" s="65"/>
      <c r="E1702" s="65"/>
      <c r="F1702" s="65"/>
      <c r="G1702" s="65"/>
    </row>
    <row r="1703">
      <c r="A1703" s="65"/>
      <c r="B1703" s="65"/>
      <c r="C1703" s="65"/>
      <c r="D1703" s="65"/>
      <c r="E1703" s="65"/>
      <c r="F1703" s="65"/>
      <c r="G1703" s="65"/>
    </row>
    <row r="1704">
      <c r="A1704" s="65"/>
      <c r="B1704" s="65"/>
      <c r="C1704" s="65"/>
      <c r="D1704" s="65"/>
      <c r="E1704" s="65"/>
      <c r="F1704" s="65"/>
      <c r="G1704" s="65"/>
    </row>
    <row r="1705">
      <c r="A1705" s="65"/>
      <c r="B1705" s="65"/>
      <c r="C1705" s="65"/>
      <c r="D1705" s="65"/>
      <c r="E1705" s="65"/>
      <c r="F1705" s="65"/>
      <c r="G1705" s="65"/>
    </row>
    <row r="1706">
      <c r="A1706" s="65"/>
      <c r="B1706" s="65"/>
      <c r="C1706" s="65"/>
      <c r="D1706" s="65"/>
      <c r="E1706" s="65"/>
      <c r="F1706" s="65"/>
      <c r="G1706" s="65"/>
    </row>
    <row r="1707">
      <c r="A1707" s="65"/>
      <c r="B1707" s="65"/>
      <c r="C1707" s="65"/>
      <c r="D1707" s="65"/>
      <c r="E1707" s="65"/>
      <c r="F1707" s="65"/>
      <c r="G1707" s="65"/>
    </row>
    <row r="1708">
      <c r="A1708" s="65"/>
      <c r="B1708" s="65"/>
      <c r="C1708" s="65"/>
      <c r="D1708" s="65"/>
      <c r="E1708" s="65"/>
      <c r="F1708" s="65"/>
      <c r="G1708" s="65"/>
    </row>
    <row r="1709">
      <c r="A1709" s="65"/>
      <c r="B1709" s="65"/>
      <c r="C1709" s="65"/>
      <c r="D1709" s="65"/>
      <c r="E1709" s="65"/>
      <c r="F1709" s="65"/>
      <c r="G1709" s="65"/>
    </row>
    <row r="1710">
      <c r="A1710" s="65"/>
      <c r="B1710" s="65"/>
      <c r="C1710" s="65"/>
      <c r="D1710" s="65"/>
      <c r="E1710" s="65"/>
      <c r="F1710" s="65"/>
      <c r="G1710" s="65"/>
    </row>
    <row r="1711">
      <c r="A1711" s="65"/>
      <c r="B1711" s="65"/>
      <c r="C1711" s="65"/>
      <c r="D1711" s="65"/>
      <c r="E1711" s="65"/>
      <c r="F1711" s="65"/>
      <c r="G1711" s="65"/>
    </row>
    <row r="1712">
      <c r="A1712" s="65"/>
      <c r="B1712" s="65"/>
      <c r="C1712" s="65"/>
      <c r="D1712" s="65"/>
      <c r="E1712" s="65"/>
      <c r="F1712" s="65"/>
      <c r="G1712" s="65"/>
    </row>
    <row r="1713">
      <c r="A1713" s="65"/>
      <c r="B1713" s="65"/>
      <c r="C1713" s="65"/>
      <c r="D1713" s="65"/>
      <c r="E1713" s="65"/>
      <c r="F1713" s="65"/>
      <c r="G1713" s="65"/>
    </row>
    <row r="1714">
      <c r="A1714" s="65"/>
      <c r="B1714" s="65"/>
      <c r="C1714" s="65"/>
      <c r="D1714" s="65"/>
      <c r="E1714" s="65"/>
      <c r="F1714" s="65"/>
      <c r="G1714" s="65"/>
    </row>
    <row r="1715">
      <c r="A1715" s="65"/>
      <c r="B1715" s="65"/>
      <c r="C1715" s="65"/>
      <c r="D1715" s="65"/>
      <c r="E1715" s="65"/>
      <c r="F1715" s="65"/>
      <c r="G1715" s="65"/>
    </row>
    <row r="1716">
      <c r="A1716" s="65"/>
      <c r="B1716" s="65"/>
      <c r="C1716" s="65"/>
      <c r="D1716" s="65"/>
      <c r="E1716" s="65"/>
      <c r="F1716" s="65"/>
      <c r="G1716" s="65"/>
    </row>
    <row r="1717">
      <c r="A1717" s="65"/>
      <c r="B1717" s="65"/>
      <c r="C1717" s="65"/>
      <c r="D1717" s="65"/>
      <c r="E1717" s="65"/>
      <c r="F1717" s="65"/>
      <c r="G1717" s="65"/>
    </row>
    <row r="1718">
      <c r="A1718" s="65"/>
      <c r="B1718" s="65"/>
      <c r="C1718" s="65"/>
      <c r="D1718" s="65"/>
      <c r="E1718" s="65"/>
      <c r="F1718" s="65"/>
      <c r="G1718" s="65"/>
    </row>
    <row r="1719">
      <c r="A1719" s="65"/>
      <c r="B1719" s="65"/>
      <c r="C1719" s="65"/>
      <c r="D1719" s="65"/>
      <c r="E1719" s="65"/>
      <c r="F1719" s="65"/>
      <c r="G1719" s="65"/>
    </row>
    <row r="1720">
      <c r="A1720" s="65"/>
      <c r="B1720" s="65"/>
      <c r="C1720" s="65"/>
      <c r="D1720" s="65"/>
      <c r="E1720" s="65"/>
      <c r="F1720" s="65"/>
      <c r="G1720" s="65"/>
    </row>
    <row r="1721">
      <c r="A1721" s="65"/>
      <c r="B1721" s="65"/>
      <c r="C1721" s="65"/>
      <c r="D1721" s="65"/>
      <c r="E1721" s="65"/>
      <c r="F1721" s="65"/>
      <c r="G1721" s="65"/>
    </row>
    <row r="1722">
      <c r="A1722" s="65"/>
      <c r="B1722" s="65"/>
      <c r="C1722" s="65"/>
      <c r="D1722" s="65"/>
      <c r="E1722" s="65"/>
      <c r="F1722" s="65"/>
      <c r="G1722" s="65"/>
    </row>
    <row r="1723">
      <c r="A1723" s="65"/>
      <c r="B1723" s="65"/>
      <c r="C1723" s="65"/>
      <c r="D1723" s="65"/>
      <c r="E1723" s="65"/>
      <c r="F1723" s="65"/>
      <c r="G1723" s="65"/>
    </row>
    <row r="1724">
      <c r="A1724" s="65"/>
      <c r="B1724" s="65"/>
      <c r="C1724" s="65"/>
      <c r="D1724" s="65"/>
      <c r="E1724" s="65"/>
      <c r="F1724" s="65"/>
      <c r="G1724" s="65"/>
    </row>
    <row r="1725">
      <c r="A1725" s="65"/>
      <c r="B1725" s="65"/>
      <c r="C1725" s="65"/>
      <c r="D1725" s="65"/>
      <c r="E1725" s="65"/>
      <c r="F1725" s="65"/>
      <c r="G1725" s="65"/>
    </row>
    <row r="1726">
      <c r="A1726" s="65"/>
      <c r="B1726" s="65"/>
      <c r="C1726" s="65"/>
      <c r="D1726" s="65"/>
      <c r="E1726" s="65"/>
      <c r="F1726" s="65"/>
      <c r="G1726" s="65"/>
    </row>
    <row r="1727">
      <c r="A1727" s="65"/>
      <c r="B1727" s="65"/>
      <c r="C1727" s="65"/>
      <c r="D1727" s="65"/>
      <c r="E1727" s="65"/>
      <c r="F1727" s="65"/>
      <c r="G1727" s="65"/>
    </row>
    <row r="1728">
      <c r="A1728" s="65"/>
      <c r="B1728" s="65"/>
      <c r="C1728" s="65"/>
      <c r="D1728" s="65"/>
      <c r="E1728" s="65"/>
      <c r="F1728" s="65"/>
      <c r="G1728" s="65"/>
    </row>
    <row r="1729">
      <c r="A1729" s="65"/>
      <c r="B1729" s="65"/>
      <c r="C1729" s="65"/>
      <c r="D1729" s="65"/>
      <c r="E1729" s="65"/>
      <c r="F1729" s="65"/>
      <c r="G1729" s="65"/>
    </row>
    <row r="1730">
      <c r="A1730" s="65"/>
      <c r="B1730" s="65"/>
      <c r="C1730" s="65"/>
      <c r="D1730" s="65"/>
      <c r="E1730" s="65"/>
      <c r="F1730" s="65"/>
      <c r="G1730" s="65"/>
    </row>
    <row r="1731">
      <c r="A1731" s="65"/>
      <c r="B1731" s="65"/>
      <c r="C1731" s="65"/>
      <c r="D1731" s="65"/>
      <c r="E1731" s="65"/>
      <c r="F1731" s="65"/>
      <c r="G1731" s="65"/>
    </row>
    <row r="1732">
      <c r="A1732" s="65"/>
      <c r="B1732" s="65"/>
      <c r="C1732" s="65"/>
      <c r="D1732" s="65"/>
      <c r="E1732" s="65"/>
      <c r="F1732" s="65"/>
      <c r="G1732" s="65"/>
    </row>
    <row r="1733">
      <c r="A1733" s="65"/>
      <c r="B1733" s="65"/>
      <c r="C1733" s="65"/>
      <c r="D1733" s="65"/>
      <c r="E1733" s="65"/>
      <c r="F1733" s="65"/>
      <c r="G1733" s="65"/>
    </row>
    <row r="1734">
      <c r="A1734" s="65"/>
      <c r="B1734" s="65"/>
      <c r="C1734" s="65"/>
      <c r="D1734" s="65"/>
      <c r="E1734" s="65"/>
      <c r="F1734" s="65"/>
      <c r="G1734" s="65"/>
    </row>
    <row r="1735">
      <c r="A1735" s="65"/>
      <c r="B1735" s="65"/>
      <c r="C1735" s="65"/>
      <c r="D1735" s="65"/>
      <c r="E1735" s="65"/>
      <c r="F1735" s="65"/>
      <c r="G1735" s="65"/>
    </row>
    <row r="1736">
      <c r="A1736" s="65"/>
      <c r="B1736" s="65"/>
      <c r="C1736" s="65"/>
      <c r="D1736" s="65"/>
      <c r="E1736" s="65"/>
      <c r="F1736" s="65"/>
      <c r="G1736" s="65"/>
    </row>
    <row r="1737">
      <c r="A1737" s="65"/>
      <c r="B1737" s="65"/>
      <c r="C1737" s="65"/>
      <c r="D1737" s="65"/>
      <c r="E1737" s="65"/>
      <c r="F1737" s="65"/>
      <c r="G1737" s="65"/>
    </row>
    <row r="1738">
      <c r="A1738" s="65"/>
      <c r="B1738" s="65"/>
      <c r="C1738" s="65"/>
      <c r="D1738" s="65"/>
      <c r="E1738" s="65"/>
      <c r="F1738" s="65"/>
      <c r="G1738" s="65"/>
    </row>
    <row r="1739">
      <c r="A1739" s="65"/>
      <c r="B1739" s="65"/>
      <c r="C1739" s="65"/>
      <c r="D1739" s="65"/>
      <c r="E1739" s="65"/>
      <c r="F1739" s="65"/>
      <c r="G1739" s="65"/>
    </row>
    <row r="1740">
      <c r="A1740" s="65"/>
      <c r="B1740" s="65"/>
      <c r="C1740" s="65"/>
      <c r="D1740" s="65"/>
      <c r="E1740" s="65"/>
      <c r="F1740" s="65"/>
      <c r="G1740" s="65"/>
    </row>
    <row r="1741">
      <c r="A1741" s="65"/>
      <c r="B1741" s="65"/>
      <c r="C1741" s="65"/>
      <c r="D1741" s="65"/>
      <c r="E1741" s="65"/>
      <c r="F1741" s="65"/>
      <c r="G1741" s="65"/>
    </row>
    <row r="1742">
      <c r="A1742" s="65"/>
      <c r="B1742" s="65"/>
      <c r="C1742" s="65"/>
      <c r="D1742" s="65"/>
      <c r="E1742" s="65"/>
      <c r="F1742" s="65"/>
      <c r="G1742" s="65"/>
    </row>
    <row r="1743">
      <c r="A1743" s="65"/>
      <c r="B1743" s="65"/>
      <c r="C1743" s="65"/>
      <c r="D1743" s="65"/>
      <c r="E1743" s="65"/>
      <c r="F1743" s="65"/>
      <c r="G1743" s="65"/>
    </row>
    <row r="1744">
      <c r="A1744" s="65"/>
      <c r="B1744" s="65"/>
      <c r="C1744" s="65"/>
      <c r="D1744" s="65"/>
      <c r="E1744" s="65"/>
      <c r="F1744" s="65"/>
      <c r="G1744" s="65"/>
    </row>
    <row r="1745">
      <c r="A1745" s="65"/>
      <c r="B1745" s="65"/>
      <c r="C1745" s="65"/>
      <c r="D1745" s="65"/>
      <c r="E1745" s="65"/>
      <c r="F1745" s="65"/>
      <c r="G1745" s="65"/>
    </row>
    <row r="1746">
      <c r="A1746" s="65"/>
      <c r="B1746" s="65"/>
      <c r="C1746" s="65"/>
      <c r="D1746" s="65"/>
      <c r="E1746" s="65"/>
      <c r="F1746" s="65"/>
      <c r="G1746" s="65"/>
    </row>
    <row r="1747">
      <c r="A1747" s="65"/>
      <c r="B1747" s="65"/>
      <c r="C1747" s="65"/>
      <c r="D1747" s="65"/>
      <c r="E1747" s="65"/>
      <c r="F1747" s="65"/>
      <c r="G1747" s="65"/>
    </row>
    <row r="1748">
      <c r="A1748" s="65"/>
      <c r="B1748" s="65"/>
      <c r="C1748" s="65"/>
      <c r="D1748" s="65"/>
      <c r="E1748" s="65"/>
      <c r="F1748" s="65"/>
      <c r="G1748" s="65"/>
    </row>
    <row r="1749">
      <c r="A1749" s="65"/>
      <c r="B1749" s="65"/>
      <c r="C1749" s="65"/>
      <c r="D1749" s="65"/>
      <c r="E1749" s="65"/>
      <c r="F1749" s="65"/>
      <c r="G1749" s="65"/>
    </row>
    <row r="1750">
      <c r="A1750" s="65"/>
      <c r="B1750" s="65"/>
      <c r="C1750" s="65"/>
      <c r="D1750" s="65"/>
      <c r="E1750" s="65"/>
      <c r="F1750" s="65"/>
      <c r="G1750" s="65"/>
    </row>
    <row r="1751">
      <c r="A1751" s="65"/>
      <c r="B1751" s="65"/>
      <c r="C1751" s="65"/>
      <c r="D1751" s="65"/>
      <c r="E1751" s="65"/>
      <c r="F1751" s="65"/>
      <c r="G1751" s="65"/>
    </row>
    <row r="1752">
      <c r="A1752" s="65"/>
      <c r="B1752" s="65"/>
      <c r="C1752" s="65"/>
      <c r="D1752" s="65"/>
      <c r="E1752" s="65"/>
      <c r="F1752" s="65"/>
      <c r="G1752" s="65"/>
    </row>
    <row r="1753">
      <c r="A1753" s="65"/>
      <c r="B1753" s="65"/>
      <c r="C1753" s="65"/>
      <c r="D1753" s="65"/>
      <c r="E1753" s="65"/>
      <c r="F1753" s="65"/>
      <c r="G1753" s="65"/>
    </row>
    <row r="1754">
      <c r="A1754" s="65"/>
      <c r="B1754" s="65"/>
      <c r="C1754" s="65"/>
      <c r="D1754" s="65"/>
      <c r="E1754" s="65"/>
      <c r="F1754" s="65"/>
      <c r="G1754" s="65"/>
    </row>
    <row r="1755">
      <c r="A1755" s="65"/>
      <c r="B1755" s="65"/>
      <c r="C1755" s="65"/>
      <c r="D1755" s="65"/>
      <c r="E1755" s="65"/>
      <c r="F1755" s="65"/>
      <c r="G1755" s="65"/>
    </row>
    <row r="1756">
      <c r="A1756" s="65"/>
      <c r="B1756" s="65"/>
      <c r="C1756" s="65"/>
      <c r="D1756" s="65"/>
      <c r="E1756" s="65"/>
      <c r="F1756" s="65"/>
      <c r="G1756" s="65"/>
    </row>
    <row r="1757">
      <c r="A1757" s="65"/>
      <c r="B1757" s="65"/>
      <c r="C1757" s="65"/>
      <c r="D1757" s="65"/>
      <c r="E1757" s="65"/>
      <c r="F1757" s="65"/>
      <c r="G1757" s="65"/>
    </row>
    <row r="1758">
      <c r="A1758" s="65"/>
      <c r="B1758" s="65"/>
      <c r="C1758" s="65"/>
      <c r="D1758" s="65"/>
      <c r="E1758" s="65"/>
      <c r="F1758" s="65"/>
      <c r="G1758" s="65"/>
    </row>
    <row r="1759">
      <c r="A1759" s="65"/>
      <c r="B1759" s="65"/>
      <c r="C1759" s="65"/>
      <c r="D1759" s="65"/>
      <c r="E1759" s="65"/>
      <c r="F1759" s="65"/>
      <c r="G1759" s="65"/>
    </row>
    <row r="1760">
      <c r="A1760" s="65"/>
      <c r="B1760" s="65"/>
      <c r="C1760" s="65"/>
      <c r="D1760" s="65"/>
      <c r="E1760" s="65"/>
      <c r="F1760" s="65"/>
      <c r="G1760" s="65"/>
    </row>
    <row r="1761">
      <c r="A1761" s="65"/>
      <c r="B1761" s="65"/>
      <c r="C1761" s="65"/>
      <c r="D1761" s="65"/>
      <c r="E1761" s="65"/>
      <c r="F1761" s="65"/>
      <c r="G1761" s="65"/>
    </row>
    <row r="1762">
      <c r="A1762" s="65"/>
      <c r="B1762" s="65"/>
      <c r="C1762" s="65"/>
      <c r="D1762" s="65"/>
      <c r="E1762" s="65"/>
      <c r="F1762" s="65"/>
      <c r="G1762" s="65"/>
    </row>
    <row r="1763">
      <c r="A1763" s="65"/>
      <c r="B1763" s="65"/>
      <c r="C1763" s="65"/>
      <c r="D1763" s="65"/>
      <c r="E1763" s="65"/>
      <c r="F1763" s="65"/>
      <c r="G1763" s="65"/>
    </row>
    <row r="1764">
      <c r="A1764" s="65"/>
      <c r="B1764" s="65"/>
      <c r="C1764" s="65"/>
      <c r="D1764" s="65"/>
      <c r="E1764" s="65"/>
      <c r="F1764" s="65"/>
      <c r="G1764" s="65"/>
    </row>
    <row r="1765">
      <c r="A1765" s="65"/>
      <c r="B1765" s="65"/>
      <c r="C1765" s="65"/>
      <c r="D1765" s="65"/>
      <c r="E1765" s="65"/>
      <c r="F1765" s="65"/>
      <c r="G1765" s="65"/>
    </row>
    <row r="1766">
      <c r="A1766" s="65"/>
      <c r="B1766" s="65"/>
      <c r="C1766" s="65"/>
      <c r="D1766" s="65"/>
      <c r="E1766" s="65"/>
      <c r="F1766" s="65"/>
      <c r="G1766" s="65"/>
    </row>
    <row r="1767">
      <c r="A1767" s="65"/>
      <c r="B1767" s="65"/>
      <c r="C1767" s="65"/>
      <c r="D1767" s="65"/>
      <c r="E1767" s="65"/>
      <c r="F1767" s="65"/>
      <c r="G1767" s="65"/>
    </row>
    <row r="1768">
      <c r="A1768" s="65"/>
      <c r="B1768" s="65"/>
      <c r="C1768" s="65"/>
      <c r="D1768" s="65"/>
      <c r="E1768" s="65"/>
      <c r="F1768" s="65"/>
      <c r="G1768" s="65"/>
    </row>
    <row r="1769">
      <c r="A1769" s="65"/>
      <c r="B1769" s="65"/>
      <c r="C1769" s="65"/>
      <c r="D1769" s="65"/>
      <c r="E1769" s="65"/>
      <c r="F1769" s="65"/>
      <c r="G1769" s="65"/>
    </row>
    <row r="1770">
      <c r="A1770" s="65"/>
      <c r="B1770" s="65"/>
      <c r="C1770" s="65"/>
      <c r="D1770" s="65"/>
      <c r="E1770" s="65"/>
      <c r="F1770" s="65"/>
      <c r="G1770" s="65"/>
    </row>
    <row r="1771">
      <c r="A1771" s="65"/>
      <c r="B1771" s="65"/>
      <c r="C1771" s="65"/>
      <c r="D1771" s="65"/>
      <c r="E1771" s="65"/>
      <c r="F1771" s="65"/>
      <c r="G1771" s="65"/>
    </row>
    <row r="1772">
      <c r="A1772" s="65"/>
      <c r="B1772" s="65"/>
      <c r="C1772" s="65"/>
      <c r="D1772" s="65"/>
      <c r="E1772" s="65"/>
      <c r="F1772" s="65"/>
      <c r="G1772" s="65"/>
    </row>
    <row r="1773">
      <c r="A1773" s="65"/>
      <c r="B1773" s="65"/>
      <c r="C1773" s="65"/>
      <c r="D1773" s="65"/>
      <c r="E1773" s="65"/>
      <c r="F1773" s="65"/>
      <c r="G1773" s="65"/>
    </row>
    <row r="1774">
      <c r="A1774" s="65"/>
      <c r="B1774" s="65"/>
      <c r="C1774" s="65"/>
      <c r="D1774" s="65"/>
      <c r="E1774" s="65"/>
      <c r="F1774" s="65"/>
      <c r="G1774" s="65"/>
    </row>
    <row r="1775">
      <c r="A1775" s="65"/>
      <c r="B1775" s="65"/>
      <c r="C1775" s="65"/>
      <c r="D1775" s="65"/>
      <c r="E1775" s="65"/>
      <c r="F1775" s="65"/>
      <c r="G1775" s="65"/>
    </row>
    <row r="1776">
      <c r="A1776" s="65"/>
      <c r="B1776" s="65"/>
      <c r="C1776" s="65"/>
      <c r="D1776" s="65"/>
      <c r="E1776" s="65"/>
      <c r="F1776" s="65"/>
      <c r="G1776" s="65"/>
    </row>
    <row r="1777">
      <c r="A1777" s="65"/>
      <c r="B1777" s="65"/>
      <c r="C1777" s="65"/>
      <c r="D1777" s="65"/>
      <c r="E1777" s="65"/>
      <c r="F1777" s="65"/>
      <c r="G1777" s="65"/>
    </row>
    <row r="1778">
      <c r="A1778" s="65"/>
      <c r="B1778" s="65"/>
      <c r="C1778" s="65"/>
      <c r="D1778" s="65"/>
      <c r="E1778" s="65"/>
      <c r="F1778" s="65"/>
      <c r="G1778" s="65"/>
    </row>
    <row r="1779">
      <c r="A1779" s="65"/>
      <c r="B1779" s="65"/>
      <c r="C1779" s="65"/>
      <c r="D1779" s="65"/>
      <c r="E1779" s="65"/>
      <c r="F1779" s="65"/>
      <c r="G1779" s="65"/>
    </row>
    <row r="1780">
      <c r="A1780" s="65"/>
      <c r="B1780" s="65"/>
      <c r="C1780" s="65"/>
      <c r="D1780" s="65"/>
      <c r="E1780" s="65"/>
      <c r="F1780" s="65"/>
      <c r="G1780" s="65"/>
    </row>
    <row r="1781">
      <c r="A1781" s="65"/>
      <c r="B1781" s="65"/>
      <c r="C1781" s="65"/>
      <c r="D1781" s="65"/>
      <c r="E1781" s="65"/>
      <c r="F1781" s="65"/>
      <c r="G1781" s="65"/>
    </row>
    <row r="1782">
      <c r="A1782" s="65"/>
      <c r="B1782" s="65"/>
      <c r="C1782" s="65"/>
      <c r="D1782" s="65"/>
      <c r="E1782" s="65"/>
      <c r="F1782" s="65"/>
      <c r="G1782" s="65"/>
    </row>
    <row r="1783">
      <c r="A1783" s="65"/>
      <c r="B1783" s="65"/>
      <c r="C1783" s="65"/>
      <c r="D1783" s="65"/>
      <c r="E1783" s="65"/>
      <c r="F1783" s="65"/>
      <c r="G1783" s="65"/>
    </row>
    <row r="1784">
      <c r="A1784" s="65"/>
      <c r="B1784" s="65"/>
      <c r="C1784" s="65"/>
      <c r="D1784" s="65"/>
      <c r="E1784" s="65"/>
      <c r="F1784" s="65"/>
      <c r="G1784" s="65"/>
    </row>
    <row r="1785">
      <c r="A1785" s="65"/>
      <c r="B1785" s="65"/>
      <c r="C1785" s="65"/>
      <c r="D1785" s="65"/>
      <c r="E1785" s="65"/>
      <c r="F1785" s="65"/>
      <c r="G1785" s="65"/>
    </row>
    <row r="1786">
      <c r="A1786" s="65"/>
      <c r="B1786" s="65"/>
      <c r="C1786" s="65"/>
      <c r="D1786" s="65"/>
      <c r="E1786" s="65"/>
      <c r="F1786" s="65"/>
      <c r="G1786" s="65"/>
    </row>
    <row r="1787">
      <c r="A1787" s="65"/>
      <c r="B1787" s="65"/>
      <c r="C1787" s="65"/>
      <c r="D1787" s="65"/>
      <c r="E1787" s="65"/>
      <c r="F1787" s="65"/>
      <c r="G1787" s="65"/>
    </row>
    <row r="1788">
      <c r="A1788" s="65"/>
      <c r="B1788" s="65"/>
      <c r="C1788" s="65"/>
      <c r="D1788" s="65"/>
      <c r="E1788" s="65"/>
      <c r="F1788" s="65"/>
      <c r="G1788" s="65"/>
    </row>
    <row r="1789">
      <c r="A1789" s="65"/>
      <c r="B1789" s="65"/>
      <c r="C1789" s="65"/>
      <c r="D1789" s="65"/>
      <c r="E1789" s="65"/>
      <c r="F1789" s="65"/>
      <c r="G1789" s="65"/>
    </row>
    <row r="1790">
      <c r="A1790" s="65"/>
      <c r="B1790" s="65"/>
      <c r="C1790" s="65"/>
      <c r="D1790" s="65"/>
      <c r="E1790" s="65"/>
      <c r="F1790" s="65"/>
      <c r="G1790" s="65"/>
    </row>
    <row r="1791">
      <c r="A1791" s="65"/>
      <c r="B1791" s="65"/>
      <c r="C1791" s="65"/>
      <c r="D1791" s="65"/>
      <c r="E1791" s="65"/>
      <c r="F1791" s="65"/>
      <c r="G1791" s="65"/>
    </row>
    <row r="1792">
      <c r="A1792" s="65"/>
      <c r="B1792" s="65"/>
      <c r="C1792" s="65"/>
      <c r="D1792" s="65"/>
      <c r="E1792" s="65"/>
      <c r="F1792" s="65"/>
      <c r="G1792" s="65"/>
    </row>
    <row r="1793">
      <c r="A1793" s="65"/>
      <c r="B1793" s="65"/>
      <c r="C1793" s="65"/>
      <c r="D1793" s="65"/>
      <c r="E1793" s="65"/>
      <c r="F1793" s="65"/>
      <c r="G1793" s="65"/>
    </row>
    <row r="1794">
      <c r="A1794" s="65"/>
      <c r="B1794" s="65"/>
      <c r="C1794" s="65"/>
      <c r="D1794" s="65"/>
      <c r="E1794" s="65"/>
      <c r="F1794" s="65"/>
      <c r="G1794" s="65"/>
    </row>
    <row r="1795">
      <c r="A1795" s="65"/>
      <c r="B1795" s="65"/>
      <c r="C1795" s="65"/>
      <c r="D1795" s="65"/>
      <c r="E1795" s="65"/>
      <c r="F1795" s="65"/>
      <c r="G1795" s="65"/>
    </row>
    <row r="1796">
      <c r="A1796" s="65"/>
      <c r="B1796" s="65"/>
      <c r="C1796" s="65"/>
      <c r="D1796" s="65"/>
      <c r="E1796" s="65"/>
      <c r="F1796" s="65"/>
      <c r="G1796" s="65"/>
    </row>
    <row r="1797">
      <c r="A1797" s="65"/>
      <c r="B1797" s="65"/>
      <c r="C1797" s="65"/>
      <c r="D1797" s="65"/>
      <c r="E1797" s="65"/>
      <c r="F1797" s="65"/>
      <c r="G1797" s="65"/>
    </row>
    <row r="1798">
      <c r="A1798" s="65"/>
      <c r="B1798" s="65"/>
      <c r="C1798" s="65"/>
      <c r="D1798" s="65"/>
      <c r="E1798" s="65"/>
      <c r="F1798" s="65"/>
      <c r="G1798" s="65"/>
    </row>
    <row r="1799">
      <c r="A1799" s="65"/>
      <c r="B1799" s="65"/>
      <c r="C1799" s="65"/>
      <c r="D1799" s="65"/>
      <c r="E1799" s="65"/>
      <c r="F1799" s="65"/>
      <c r="G1799" s="65"/>
    </row>
    <row r="1800">
      <c r="A1800" s="65"/>
      <c r="B1800" s="65"/>
      <c r="C1800" s="65"/>
      <c r="D1800" s="65"/>
      <c r="E1800" s="65"/>
      <c r="F1800" s="65"/>
      <c r="G1800" s="65"/>
    </row>
    <row r="1801">
      <c r="A1801" s="65"/>
      <c r="B1801" s="65"/>
      <c r="C1801" s="65"/>
      <c r="D1801" s="65"/>
      <c r="E1801" s="65"/>
      <c r="F1801" s="65"/>
      <c r="G1801" s="65"/>
    </row>
    <row r="1802">
      <c r="A1802" s="65"/>
      <c r="B1802" s="65"/>
      <c r="C1802" s="65"/>
      <c r="D1802" s="65"/>
      <c r="E1802" s="65"/>
      <c r="F1802" s="65"/>
      <c r="G1802" s="65"/>
    </row>
    <row r="1803">
      <c r="A1803" s="65"/>
      <c r="B1803" s="65"/>
      <c r="C1803" s="65"/>
      <c r="D1803" s="65"/>
      <c r="E1803" s="65"/>
      <c r="F1803" s="65"/>
      <c r="G1803" s="65"/>
    </row>
    <row r="1804">
      <c r="A1804" s="65"/>
      <c r="B1804" s="65"/>
      <c r="C1804" s="65"/>
      <c r="D1804" s="65"/>
      <c r="E1804" s="65"/>
      <c r="F1804" s="65"/>
      <c r="G1804" s="65"/>
    </row>
    <row r="1805">
      <c r="A1805" s="65"/>
      <c r="B1805" s="65"/>
      <c r="C1805" s="65"/>
      <c r="D1805" s="65"/>
      <c r="E1805" s="65"/>
      <c r="F1805" s="65"/>
      <c r="G1805" s="65"/>
    </row>
    <row r="1806">
      <c r="A1806" s="65"/>
      <c r="B1806" s="65"/>
      <c r="C1806" s="65"/>
      <c r="D1806" s="65"/>
      <c r="E1806" s="65"/>
      <c r="F1806" s="65"/>
      <c r="G1806" s="65"/>
    </row>
    <row r="1807">
      <c r="A1807" s="65"/>
      <c r="B1807" s="65"/>
      <c r="C1807" s="65"/>
      <c r="D1807" s="65"/>
      <c r="E1807" s="65"/>
      <c r="F1807" s="65"/>
      <c r="G1807" s="65"/>
    </row>
    <row r="1808">
      <c r="A1808" s="65"/>
      <c r="B1808" s="65"/>
      <c r="C1808" s="65"/>
      <c r="D1808" s="65"/>
      <c r="E1808" s="65"/>
      <c r="F1808" s="65"/>
      <c r="G1808" s="65"/>
    </row>
    <row r="1809">
      <c r="A1809" s="65"/>
      <c r="B1809" s="65"/>
      <c r="C1809" s="65"/>
      <c r="D1809" s="65"/>
      <c r="E1809" s="65"/>
      <c r="F1809" s="65"/>
      <c r="G1809" s="65"/>
    </row>
    <row r="1810">
      <c r="A1810" s="65"/>
      <c r="B1810" s="65"/>
      <c r="C1810" s="65"/>
      <c r="D1810" s="65"/>
      <c r="E1810" s="65"/>
      <c r="F1810" s="65"/>
      <c r="G1810" s="65"/>
    </row>
    <row r="1811">
      <c r="A1811" s="65"/>
      <c r="B1811" s="65"/>
      <c r="C1811" s="65"/>
      <c r="D1811" s="65"/>
      <c r="E1811" s="65"/>
      <c r="F1811" s="65"/>
      <c r="G1811" s="65"/>
    </row>
    <row r="1812">
      <c r="A1812" s="65"/>
      <c r="B1812" s="65"/>
      <c r="C1812" s="65"/>
      <c r="D1812" s="65"/>
      <c r="E1812" s="65"/>
      <c r="F1812" s="65"/>
      <c r="G1812" s="65"/>
    </row>
    <row r="1813">
      <c r="A1813" s="65"/>
      <c r="B1813" s="65"/>
      <c r="C1813" s="65"/>
      <c r="D1813" s="65"/>
      <c r="E1813" s="65"/>
      <c r="F1813" s="65"/>
      <c r="G1813" s="65"/>
    </row>
    <row r="1814">
      <c r="A1814" s="65"/>
      <c r="B1814" s="65"/>
      <c r="C1814" s="65"/>
      <c r="D1814" s="65"/>
      <c r="E1814" s="65"/>
      <c r="F1814" s="65"/>
      <c r="G1814" s="65"/>
    </row>
    <row r="1815">
      <c r="A1815" s="65"/>
      <c r="B1815" s="65"/>
      <c r="C1815" s="65"/>
      <c r="D1815" s="65"/>
      <c r="E1815" s="65"/>
      <c r="F1815" s="65"/>
      <c r="G1815" s="65"/>
    </row>
    <row r="1816">
      <c r="A1816" s="65"/>
      <c r="B1816" s="65"/>
      <c r="C1816" s="65"/>
      <c r="D1816" s="65"/>
      <c r="E1816" s="65"/>
      <c r="F1816" s="65"/>
      <c r="G1816" s="65"/>
    </row>
    <row r="1817">
      <c r="A1817" s="65"/>
      <c r="B1817" s="65"/>
      <c r="C1817" s="65"/>
      <c r="D1817" s="65"/>
      <c r="E1817" s="65"/>
      <c r="F1817" s="65"/>
      <c r="G1817" s="65"/>
    </row>
    <row r="1818">
      <c r="A1818" s="65"/>
      <c r="B1818" s="65"/>
      <c r="C1818" s="65"/>
      <c r="D1818" s="65"/>
      <c r="E1818" s="65"/>
      <c r="F1818" s="65"/>
      <c r="G1818" s="65"/>
    </row>
    <row r="1819">
      <c r="A1819" s="65"/>
      <c r="B1819" s="65"/>
      <c r="C1819" s="65"/>
      <c r="D1819" s="65"/>
      <c r="E1819" s="65"/>
      <c r="F1819" s="65"/>
      <c r="G1819" s="65"/>
    </row>
    <row r="1820">
      <c r="A1820" s="65"/>
      <c r="B1820" s="65"/>
      <c r="C1820" s="65"/>
      <c r="D1820" s="65"/>
      <c r="E1820" s="65"/>
      <c r="F1820" s="65"/>
      <c r="G1820" s="65"/>
    </row>
    <row r="1821">
      <c r="A1821" s="65"/>
      <c r="B1821" s="65"/>
      <c r="C1821" s="65"/>
      <c r="D1821" s="65"/>
      <c r="E1821" s="65"/>
      <c r="F1821" s="65"/>
      <c r="G1821" s="65"/>
    </row>
    <row r="1822">
      <c r="A1822" s="65"/>
      <c r="B1822" s="65"/>
      <c r="C1822" s="65"/>
      <c r="D1822" s="65"/>
      <c r="E1822" s="65"/>
      <c r="F1822" s="65"/>
      <c r="G1822" s="65"/>
    </row>
    <row r="1823">
      <c r="A1823" s="65"/>
      <c r="B1823" s="65"/>
      <c r="C1823" s="65"/>
      <c r="D1823" s="65"/>
      <c r="E1823" s="65"/>
      <c r="F1823" s="65"/>
      <c r="G1823" s="65"/>
    </row>
    <row r="1824">
      <c r="A1824" s="65"/>
      <c r="B1824" s="65"/>
      <c r="C1824" s="65"/>
      <c r="D1824" s="65"/>
      <c r="E1824" s="65"/>
      <c r="F1824" s="65"/>
      <c r="G1824" s="65"/>
    </row>
    <row r="1825">
      <c r="A1825" s="65"/>
      <c r="B1825" s="65"/>
      <c r="C1825" s="65"/>
      <c r="D1825" s="65"/>
      <c r="E1825" s="65"/>
      <c r="F1825" s="65"/>
      <c r="G1825" s="65"/>
    </row>
    <row r="1826">
      <c r="A1826" s="65"/>
      <c r="B1826" s="65"/>
      <c r="C1826" s="65"/>
      <c r="D1826" s="65"/>
      <c r="E1826" s="65"/>
      <c r="F1826" s="65"/>
      <c r="G1826" s="65"/>
    </row>
    <row r="1827">
      <c r="A1827" s="65"/>
      <c r="B1827" s="65"/>
      <c r="C1827" s="65"/>
      <c r="D1827" s="65"/>
      <c r="E1827" s="65"/>
      <c r="F1827" s="65"/>
      <c r="G1827" s="65"/>
    </row>
    <row r="1828">
      <c r="A1828" s="65"/>
      <c r="B1828" s="65"/>
      <c r="C1828" s="65"/>
      <c r="D1828" s="65"/>
      <c r="E1828" s="65"/>
      <c r="F1828" s="65"/>
      <c r="G1828" s="65"/>
    </row>
    <row r="1829">
      <c r="A1829" s="65"/>
      <c r="B1829" s="65"/>
      <c r="C1829" s="65"/>
      <c r="D1829" s="65"/>
      <c r="E1829" s="65"/>
      <c r="F1829" s="65"/>
      <c r="G1829" s="65"/>
    </row>
    <row r="1830">
      <c r="A1830" s="65"/>
      <c r="B1830" s="65"/>
      <c r="C1830" s="65"/>
      <c r="D1830" s="65"/>
      <c r="E1830" s="65"/>
      <c r="F1830" s="65"/>
      <c r="G1830" s="65"/>
    </row>
    <row r="1831">
      <c r="A1831" s="65"/>
      <c r="B1831" s="65"/>
      <c r="C1831" s="65"/>
      <c r="D1831" s="65"/>
      <c r="E1831" s="65"/>
      <c r="F1831" s="65"/>
      <c r="G1831" s="65"/>
    </row>
    <row r="1832">
      <c r="A1832" s="65"/>
      <c r="B1832" s="65"/>
      <c r="C1832" s="65"/>
      <c r="D1832" s="65"/>
      <c r="E1832" s="65"/>
      <c r="F1832" s="65"/>
      <c r="G1832" s="65"/>
    </row>
    <row r="1833">
      <c r="A1833" s="65"/>
      <c r="B1833" s="65"/>
      <c r="C1833" s="65"/>
      <c r="D1833" s="65"/>
      <c r="E1833" s="65"/>
      <c r="F1833" s="65"/>
      <c r="G1833" s="65"/>
    </row>
    <row r="1834">
      <c r="A1834" s="65"/>
      <c r="B1834" s="65"/>
      <c r="C1834" s="65"/>
      <c r="D1834" s="65"/>
      <c r="E1834" s="65"/>
      <c r="F1834" s="65"/>
      <c r="G1834" s="65"/>
    </row>
    <row r="1835">
      <c r="A1835" s="65"/>
      <c r="B1835" s="65"/>
      <c r="C1835" s="65"/>
      <c r="D1835" s="65"/>
      <c r="E1835" s="65"/>
      <c r="F1835" s="65"/>
      <c r="G1835" s="65"/>
    </row>
    <row r="1836">
      <c r="A1836" s="65"/>
      <c r="B1836" s="65"/>
      <c r="C1836" s="65"/>
      <c r="D1836" s="65"/>
      <c r="E1836" s="65"/>
      <c r="F1836" s="65"/>
      <c r="G1836" s="65"/>
    </row>
    <row r="1837">
      <c r="A1837" s="65"/>
      <c r="B1837" s="65"/>
      <c r="C1837" s="65"/>
      <c r="D1837" s="65"/>
      <c r="E1837" s="65"/>
      <c r="F1837" s="65"/>
      <c r="G1837" s="65"/>
    </row>
    <row r="1838">
      <c r="A1838" s="65"/>
      <c r="B1838" s="65"/>
      <c r="C1838" s="65"/>
      <c r="D1838" s="65"/>
      <c r="E1838" s="65"/>
      <c r="F1838" s="65"/>
      <c r="G1838" s="65"/>
    </row>
    <row r="1839">
      <c r="A1839" s="65"/>
      <c r="B1839" s="65"/>
      <c r="C1839" s="65"/>
      <c r="D1839" s="65"/>
      <c r="E1839" s="65"/>
      <c r="F1839" s="65"/>
      <c r="G1839" s="65"/>
    </row>
    <row r="1840">
      <c r="A1840" s="65"/>
      <c r="B1840" s="65"/>
      <c r="C1840" s="65"/>
      <c r="D1840" s="65"/>
      <c r="E1840" s="65"/>
      <c r="F1840" s="65"/>
      <c r="G1840" s="65"/>
    </row>
    <row r="1841">
      <c r="A1841" s="65"/>
      <c r="B1841" s="65"/>
      <c r="C1841" s="65"/>
      <c r="D1841" s="65"/>
      <c r="E1841" s="65"/>
      <c r="F1841" s="65"/>
      <c r="G1841" s="65"/>
    </row>
    <row r="1842">
      <c r="A1842" s="65"/>
      <c r="B1842" s="65"/>
      <c r="C1842" s="65"/>
      <c r="D1842" s="65"/>
      <c r="E1842" s="65"/>
      <c r="F1842" s="65"/>
      <c r="G1842" s="65"/>
    </row>
    <row r="1843">
      <c r="A1843" s="65"/>
      <c r="B1843" s="65"/>
      <c r="C1843" s="65"/>
      <c r="D1843" s="65"/>
      <c r="E1843" s="65"/>
      <c r="F1843" s="65"/>
      <c r="G1843" s="65"/>
    </row>
    <row r="1844">
      <c r="A1844" s="65"/>
      <c r="B1844" s="65"/>
      <c r="C1844" s="65"/>
      <c r="D1844" s="65"/>
      <c r="E1844" s="65"/>
      <c r="F1844" s="65"/>
      <c r="G1844" s="65"/>
    </row>
    <row r="1845">
      <c r="A1845" s="65"/>
      <c r="B1845" s="65"/>
      <c r="C1845" s="65"/>
      <c r="D1845" s="65"/>
      <c r="E1845" s="65"/>
      <c r="F1845" s="65"/>
      <c r="G1845" s="65"/>
    </row>
    <row r="1846">
      <c r="A1846" s="65"/>
      <c r="B1846" s="65"/>
      <c r="C1846" s="65"/>
      <c r="D1846" s="65"/>
      <c r="E1846" s="65"/>
      <c r="F1846" s="65"/>
      <c r="G1846" s="65"/>
    </row>
    <row r="1847">
      <c r="A1847" s="65"/>
      <c r="B1847" s="65"/>
      <c r="C1847" s="65"/>
      <c r="D1847" s="65"/>
      <c r="E1847" s="65"/>
      <c r="F1847" s="65"/>
      <c r="G1847" s="65"/>
    </row>
    <row r="1848">
      <c r="A1848" s="65"/>
      <c r="B1848" s="65"/>
      <c r="C1848" s="65"/>
      <c r="D1848" s="65"/>
      <c r="E1848" s="65"/>
      <c r="F1848" s="65"/>
      <c r="G1848" s="65"/>
    </row>
    <row r="1849">
      <c r="A1849" s="65"/>
      <c r="B1849" s="65"/>
      <c r="C1849" s="65"/>
      <c r="D1849" s="65"/>
      <c r="E1849" s="65"/>
      <c r="F1849" s="65"/>
      <c r="G1849" s="65"/>
    </row>
    <row r="1850">
      <c r="A1850" s="65"/>
      <c r="B1850" s="65"/>
      <c r="C1850" s="65"/>
      <c r="D1850" s="65"/>
      <c r="E1850" s="65"/>
      <c r="F1850" s="65"/>
      <c r="G1850" s="65"/>
    </row>
    <row r="1851">
      <c r="A1851" s="65"/>
      <c r="B1851" s="65"/>
      <c r="C1851" s="65"/>
      <c r="D1851" s="65"/>
      <c r="E1851" s="65"/>
      <c r="F1851" s="65"/>
      <c r="G1851" s="65"/>
    </row>
    <row r="1852">
      <c r="A1852" s="65"/>
      <c r="B1852" s="65"/>
      <c r="C1852" s="65"/>
      <c r="D1852" s="65"/>
      <c r="E1852" s="65"/>
      <c r="F1852" s="65"/>
      <c r="G1852" s="65"/>
    </row>
    <row r="1853">
      <c r="A1853" s="65"/>
      <c r="B1853" s="65"/>
      <c r="C1853" s="65"/>
      <c r="D1853" s="65"/>
      <c r="E1853" s="65"/>
      <c r="F1853" s="65"/>
      <c r="G1853" s="65"/>
    </row>
    <row r="1854">
      <c r="A1854" s="65"/>
      <c r="B1854" s="65"/>
      <c r="C1854" s="65"/>
      <c r="D1854" s="65"/>
      <c r="E1854" s="65"/>
      <c r="F1854" s="65"/>
      <c r="G1854" s="65"/>
    </row>
    <row r="1855">
      <c r="A1855" s="65"/>
      <c r="B1855" s="65"/>
      <c r="C1855" s="65"/>
      <c r="D1855" s="65"/>
      <c r="E1855" s="65"/>
      <c r="F1855" s="65"/>
      <c r="G1855" s="65"/>
    </row>
    <row r="1856">
      <c r="A1856" s="65"/>
      <c r="B1856" s="65"/>
      <c r="C1856" s="65"/>
      <c r="D1856" s="65"/>
      <c r="E1856" s="65"/>
      <c r="F1856" s="65"/>
      <c r="G1856" s="65"/>
    </row>
    <row r="1857">
      <c r="A1857" s="65"/>
      <c r="B1857" s="65"/>
      <c r="C1857" s="65"/>
      <c r="D1857" s="65"/>
      <c r="E1857" s="65"/>
      <c r="F1857" s="65"/>
      <c r="G1857" s="65"/>
    </row>
    <row r="1858">
      <c r="A1858" s="65"/>
      <c r="B1858" s="65"/>
      <c r="C1858" s="65"/>
      <c r="D1858" s="65"/>
      <c r="E1858" s="65"/>
      <c r="F1858" s="65"/>
      <c r="G1858" s="65"/>
    </row>
    <row r="1859">
      <c r="A1859" s="65"/>
      <c r="B1859" s="65"/>
      <c r="C1859" s="65"/>
      <c r="D1859" s="65"/>
      <c r="E1859" s="65"/>
      <c r="F1859" s="65"/>
      <c r="G1859" s="65"/>
    </row>
    <row r="1860">
      <c r="A1860" s="65"/>
      <c r="B1860" s="65"/>
      <c r="C1860" s="65"/>
      <c r="D1860" s="65"/>
      <c r="E1860" s="65"/>
      <c r="F1860" s="65"/>
      <c r="G1860" s="65"/>
    </row>
    <row r="1861">
      <c r="A1861" s="65"/>
      <c r="B1861" s="65"/>
      <c r="C1861" s="65"/>
      <c r="D1861" s="65"/>
      <c r="E1861" s="65"/>
      <c r="F1861" s="65"/>
      <c r="G1861" s="65"/>
    </row>
    <row r="1862">
      <c r="A1862" s="65"/>
      <c r="B1862" s="65"/>
      <c r="C1862" s="65"/>
      <c r="D1862" s="65"/>
      <c r="E1862" s="65"/>
      <c r="F1862" s="65"/>
      <c r="G1862" s="65"/>
    </row>
    <row r="1863">
      <c r="A1863" s="65"/>
      <c r="B1863" s="65"/>
      <c r="C1863" s="65"/>
      <c r="D1863" s="65"/>
      <c r="E1863" s="65"/>
      <c r="F1863" s="65"/>
      <c r="G1863" s="65"/>
    </row>
    <row r="1864">
      <c r="A1864" s="65"/>
      <c r="B1864" s="65"/>
      <c r="C1864" s="65"/>
      <c r="D1864" s="65"/>
      <c r="E1864" s="65"/>
      <c r="F1864" s="65"/>
      <c r="G1864" s="65"/>
    </row>
    <row r="1865">
      <c r="A1865" s="65"/>
      <c r="B1865" s="65"/>
      <c r="C1865" s="65"/>
      <c r="D1865" s="65"/>
      <c r="E1865" s="65"/>
      <c r="F1865" s="65"/>
      <c r="G1865" s="65"/>
    </row>
    <row r="1866">
      <c r="A1866" s="65"/>
      <c r="B1866" s="65"/>
      <c r="C1866" s="65"/>
      <c r="D1866" s="65"/>
      <c r="E1866" s="65"/>
      <c r="F1866" s="65"/>
      <c r="G1866" s="65"/>
    </row>
    <row r="1867">
      <c r="A1867" s="65"/>
      <c r="B1867" s="65"/>
      <c r="C1867" s="65"/>
      <c r="D1867" s="65"/>
      <c r="E1867" s="65"/>
      <c r="F1867" s="65"/>
      <c r="G1867" s="65"/>
    </row>
    <row r="1868">
      <c r="A1868" s="65"/>
      <c r="B1868" s="65"/>
      <c r="C1868" s="65"/>
      <c r="D1868" s="65"/>
      <c r="E1868" s="65"/>
      <c r="F1868" s="65"/>
      <c r="G1868" s="65"/>
    </row>
    <row r="1869">
      <c r="A1869" s="65"/>
      <c r="B1869" s="65"/>
      <c r="C1869" s="65"/>
      <c r="D1869" s="65"/>
      <c r="E1869" s="65"/>
      <c r="F1869" s="65"/>
      <c r="G1869" s="65"/>
    </row>
    <row r="1870">
      <c r="A1870" s="65"/>
      <c r="B1870" s="65"/>
      <c r="C1870" s="65"/>
      <c r="D1870" s="65"/>
      <c r="E1870" s="65"/>
      <c r="F1870" s="65"/>
      <c r="G1870" s="65"/>
    </row>
    <row r="1871">
      <c r="A1871" s="65"/>
      <c r="B1871" s="65"/>
      <c r="C1871" s="65"/>
      <c r="D1871" s="65"/>
      <c r="E1871" s="65"/>
      <c r="F1871" s="65"/>
      <c r="G1871" s="65"/>
    </row>
    <row r="1872">
      <c r="A1872" s="65"/>
      <c r="B1872" s="65"/>
      <c r="C1872" s="65"/>
      <c r="D1872" s="65"/>
      <c r="E1872" s="65"/>
      <c r="F1872" s="65"/>
      <c r="G1872" s="65"/>
    </row>
    <row r="1873">
      <c r="A1873" s="65"/>
      <c r="B1873" s="65"/>
      <c r="C1873" s="65"/>
      <c r="D1873" s="65"/>
      <c r="E1873" s="65"/>
      <c r="F1873" s="65"/>
      <c r="G1873" s="65"/>
    </row>
    <row r="1874">
      <c r="A1874" s="65"/>
      <c r="B1874" s="65"/>
      <c r="C1874" s="65"/>
      <c r="D1874" s="65"/>
      <c r="E1874" s="65"/>
      <c r="F1874" s="65"/>
      <c r="G1874" s="65"/>
    </row>
    <row r="1875">
      <c r="A1875" s="65"/>
      <c r="B1875" s="65"/>
      <c r="C1875" s="65"/>
      <c r="D1875" s="65"/>
      <c r="E1875" s="65"/>
      <c r="F1875" s="65"/>
      <c r="G1875" s="65"/>
    </row>
    <row r="1876">
      <c r="A1876" s="65"/>
      <c r="B1876" s="65"/>
      <c r="C1876" s="65"/>
      <c r="D1876" s="65"/>
      <c r="E1876" s="65"/>
      <c r="F1876" s="65"/>
      <c r="G1876" s="65"/>
    </row>
    <row r="1877">
      <c r="A1877" s="65"/>
      <c r="B1877" s="65"/>
      <c r="C1877" s="65"/>
      <c r="D1877" s="65"/>
      <c r="E1877" s="65"/>
      <c r="F1877" s="65"/>
      <c r="G1877" s="65"/>
    </row>
    <row r="1878">
      <c r="A1878" s="65"/>
      <c r="B1878" s="65"/>
      <c r="C1878" s="65"/>
      <c r="D1878" s="65"/>
      <c r="E1878" s="65"/>
      <c r="F1878" s="65"/>
      <c r="G1878" s="65"/>
    </row>
    <row r="1879">
      <c r="A1879" s="65"/>
      <c r="B1879" s="65"/>
      <c r="C1879" s="65"/>
      <c r="D1879" s="65"/>
      <c r="E1879" s="65"/>
      <c r="F1879" s="65"/>
      <c r="G1879" s="65"/>
    </row>
    <row r="1880">
      <c r="A1880" s="65"/>
      <c r="B1880" s="65"/>
      <c r="C1880" s="65"/>
      <c r="D1880" s="65"/>
      <c r="E1880" s="65"/>
      <c r="F1880" s="65"/>
      <c r="G1880" s="65"/>
    </row>
    <row r="1881">
      <c r="A1881" s="65"/>
      <c r="B1881" s="65"/>
      <c r="C1881" s="65"/>
      <c r="D1881" s="65"/>
      <c r="E1881" s="65"/>
      <c r="F1881" s="65"/>
      <c r="G1881" s="65"/>
    </row>
    <row r="1882">
      <c r="A1882" s="65"/>
      <c r="B1882" s="65"/>
      <c r="C1882" s="65"/>
      <c r="D1882" s="65"/>
      <c r="E1882" s="65"/>
      <c r="F1882" s="65"/>
      <c r="G1882" s="65"/>
    </row>
    <row r="1883">
      <c r="A1883" s="65"/>
      <c r="B1883" s="65"/>
      <c r="C1883" s="65"/>
      <c r="D1883" s="65"/>
      <c r="E1883" s="65"/>
      <c r="F1883" s="65"/>
      <c r="G1883" s="65"/>
    </row>
    <row r="1884">
      <c r="A1884" s="65"/>
      <c r="B1884" s="65"/>
      <c r="C1884" s="65"/>
      <c r="D1884" s="65"/>
      <c r="E1884" s="65"/>
      <c r="F1884" s="65"/>
      <c r="G1884" s="65"/>
    </row>
    <row r="1885">
      <c r="A1885" s="65"/>
      <c r="B1885" s="65"/>
      <c r="C1885" s="65"/>
      <c r="D1885" s="65"/>
      <c r="E1885" s="65"/>
      <c r="F1885" s="65"/>
      <c r="G1885" s="65"/>
    </row>
    <row r="1886">
      <c r="A1886" s="65"/>
      <c r="B1886" s="65"/>
      <c r="C1886" s="65"/>
      <c r="D1886" s="65"/>
      <c r="E1886" s="65"/>
      <c r="F1886" s="65"/>
      <c r="G1886" s="65"/>
    </row>
    <row r="1887">
      <c r="A1887" s="65"/>
      <c r="B1887" s="65"/>
      <c r="C1887" s="65"/>
      <c r="D1887" s="65"/>
      <c r="E1887" s="65"/>
      <c r="F1887" s="65"/>
      <c r="G1887" s="65"/>
    </row>
    <row r="1888">
      <c r="A1888" s="65"/>
      <c r="B1888" s="65"/>
      <c r="C1888" s="65"/>
      <c r="D1888" s="65"/>
      <c r="E1888" s="65"/>
      <c r="F1888" s="65"/>
      <c r="G1888" s="65"/>
    </row>
    <row r="1889">
      <c r="A1889" s="65"/>
      <c r="B1889" s="65"/>
      <c r="C1889" s="65"/>
      <c r="D1889" s="65"/>
      <c r="E1889" s="65"/>
      <c r="F1889" s="65"/>
      <c r="G1889" s="65"/>
    </row>
    <row r="1890">
      <c r="A1890" s="65"/>
      <c r="B1890" s="65"/>
      <c r="C1890" s="65"/>
      <c r="D1890" s="65"/>
      <c r="E1890" s="65"/>
      <c r="F1890" s="65"/>
      <c r="G1890" s="65"/>
    </row>
    <row r="1891">
      <c r="A1891" s="65"/>
      <c r="B1891" s="65"/>
      <c r="C1891" s="65"/>
      <c r="D1891" s="65"/>
      <c r="E1891" s="65"/>
      <c r="F1891" s="65"/>
      <c r="G1891" s="65"/>
    </row>
    <row r="1892">
      <c r="A1892" s="65"/>
      <c r="B1892" s="65"/>
      <c r="C1892" s="65"/>
      <c r="D1892" s="65"/>
      <c r="E1892" s="65"/>
      <c r="F1892" s="65"/>
      <c r="G1892" s="65"/>
    </row>
    <row r="1893">
      <c r="A1893" s="65"/>
      <c r="B1893" s="65"/>
      <c r="C1893" s="65"/>
      <c r="D1893" s="65"/>
      <c r="E1893" s="65"/>
      <c r="F1893" s="65"/>
      <c r="G1893" s="65"/>
    </row>
    <row r="1894">
      <c r="A1894" s="65"/>
      <c r="B1894" s="65"/>
      <c r="C1894" s="65"/>
      <c r="D1894" s="65"/>
      <c r="E1894" s="65"/>
      <c r="F1894" s="65"/>
      <c r="G1894" s="65"/>
    </row>
    <row r="1895">
      <c r="A1895" s="65"/>
      <c r="B1895" s="65"/>
      <c r="C1895" s="65"/>
      <c r="D1895" s="65"/>
      <c r="E1895" s="65"/>
      <c r="F1895" s="65"/>
      <c r="G1895" s="65"/>
    </row>
    <row r="1896">
      <c r="A1896" s="65"/>
      <c r="B1896" s="65"/>
      <c r="C1896" s="65"/>
      <c r="D1896" s="65"/>
      <c r="E1896" s="65"/>
      <c r="F1896" s="65"/>
      <c r="G1896" s="65"/>
    </row>
    <row r="1897">
      <c r="A1897" s="65"/>
      <c r="B1897" s="65"/>
      <c r="C1897" s="65"/>
      <c r="D1897" s="65"/>
      <c r="E1897" s="65"/>
      <c r="F1897" s="65"/>
      <c r="G1897" s="65"/>
    </row>
    <row r="1898">
      <c r="A1898" s="65"/>
      <c r="B1898" s="65"/>
      <c r="C1898" s="65"/>
      <c r="D1898" s="65"/>
      <c r="E1898" s="65"/>
      <c r="F1898" s="65"/>
      <c r="G1898" s="65"/>
    </row>
    <row r="1899">
      <c r="A1899" s="65"/>
      <c r="B1899" s="65"/>
      <c r="C1899" s="65"/>
      <c r="D1899" s="65"/>
      <c r="E1899" s="65"/>
      <c r="F1899" s="65"/>
      <c r="G1899" s="65"/>
    </row>
    <row r="1900">
      <c r="A1900" s="65"/>
      <c r="B1900" s="65"/>
      <c r="C1900" s="65"/>
      <c r="D1900" s="65"/>
      <c r="E1900" s="65"/>
      <c r="F1900" s="65"/>
      <c r="G1900" s="65"/>
    </row>
    <row r="1901">
      <c r="A1901" s="65"/>
      <c r="B1901" s="65"/>
      <c r="C1901" s="65"/>
      <c r="D1901" s="65"/>
      <c r="E1901" s="65"/>
      <c r="F1901" s="65"/>
      <c r="G1901" s="65"/>
    </row>
    <row r="1902">
      <c r="A1902" s="65"/>
      <c r="B1902" s="65"/>
      <c r="C1902" s="65"/>
      <c r="D1902" s="65"/>
      <c r="E1902" s="65"/>
      <c r="F1902" s="65"/>
      <c r="G1902" s="65"/>
    </row>
    <row r="1903">
      <c r="A1903" s="65"/>
      <c r="B1903" s="65"/>
      <c r="C1903" s="65"/>
      <c r="D1903" s="65"/>
      <c r="E1903" s="65"/>
      <c r="F1903" s="65"/>
      <c r="G1903" s="65"/>
    </row>
    <row r="1904">
      <c r="A1904" s="65"/>
      <c r="B1904" s="65"/>
      <c r="C1904" s="65"/>
      <c r="D1904" s="65"/>
      <c r="E1904" s="65"/>
      <c r="F1904" s="65"/>
      <c r="G1904" s="65"/>
    </row>
    <row r="1905">
      <c r="A1905" s="65"/>
      <c r="B1905" s="65"/>
      <c r="C1905" s="65"/>
      <c r="D1905" s="65"/>
      <c r="E1905" s="65"/>
      <c r="F1905" s="65"/>
      <c r="G1905" s="65"/>
    </row>
    <row r="1906">
      <c r="A1906" s="65"/>
      <c r="B1906" s="65"/>
      <c r="C1906" s="65"/>
      <c r="D1906" s="65"/>
      <c r="E1906" s="65"/>
      <c r="F1906" s="65"/>
      <c r="G1906" s="65"/>
    </row>
    <row r="1907">
      <c r="A1907" s="65"/>
      <c r="B1907" s="65"/>
      <c r="C1907" s="65"/>
      <c r="D1907" s="65"/>
      <c r="E1907" s="65"/>
      <c r="F1907" s="65"/>
      <c r="G1907" s="65"/>
    </row>
    <row r="1908">
      <c r="A1908" s="65"/>
      <c r="B1908" s="65"/>
      <c r="C1908" s="65"/>
      <c r="D1908" s="65"/>
      <c r="E1908" s="65"/>
      <c r="F1908" s="65"/>
      <c r="G1908" s="65"/>
    </row>
    <row r="1909">
      <c r="A1909" s="65"/>
      <c r="B1909" s="65"/>
      <c r="C1909" s="65"/>
      <c r="D1909" s="65"/>
      <c r="E1909" s="65"/>
      <c r="F1909" s="65"/>
      <c r="G1909" s="65"/>
    </row>
    <row r="1910">
      <c r="A1910" s="65"/>
      <c r="B1910" s="65"/>
      <c r="C1910" s="65"/>
      <c r="D1910" s="65"/>
      <c r="E1910" s="65"/>
      <c r="F1910" s="65"/>
      <c r="G1910" s="65"/>
    </row>
    <row r="1911">
      <c r="A1911" s="65"/>
      <c r="B1911" s="65"/>
      <c r="C1911" s="65"/>
      <c r="D1911" s="65"/>
      <c r="E1911" s="65"/>
      <c r="F1911" s="65"/>
      <c r="G1911" s="65"/>
    </row>
    <row r="1912">
      <c r="A1912" s="65"/>
      <c r="B1912" s="65"/>
      <c r="C1912" s="65"/>
      <c r="D1912" s="65"/>
      <c r="E1912" s="65"/>
      <c r="F1912" s="65"/>
      <c r="G1912" s="65"/>
    </row>
    <row r="1913">
      <c r="A1913" s="65"/>
      <c r="B1913" s="65"/>
      <c r="C1913" s="65"/>
      <c r="D1913" s="65"/>
      <c r="E1913" s="65"/>
      <c r="F1913" s="65"/>
      <c r="G1913" s="65"/>
    </row>
    <row r="1914">
      <c r="A1914" s="65"/>
      <c r="B1914" s="65"/>
      <c r="C1914" s="65"/>
      <c r="D1914" s="65"/>
      <c r="E1914" s="65"/>
      <c r="F1914" s="65"/>
      <c r="G1914" s="65"/>
    </row>
    <row r="1915">
      <c r="A1915" s="65"/>
      <c r="B1915" s="65"/>
      <c r="C1915" s="65"/>
      <c r="D1915" s="65"/>
      <c r="E1915" s="65"/>
      <c r="F1915" s="65"/>
      <c r="G1915" s="65"/>
    </row>
    <row r="1916">
      <c r="A1916" s="65"/>
      <c r="B1916" s="65"/>
      <c r="C1916" s="65"/>
      <c r="D1916" s="65"/>
      <c r="E1916" s="65"/>
      <c r="F1916" s="65"/>
      <c r="G1916" s="65"/>
    </row>
    <row r="1917">
      <c r="A1917" s="65"/>
      <c r="B1917" s="65"/>
      <c r="C1917" s="65"/>
      <c r="D1917" s="65"/>
      <c r="E1917" s="65"/>
      <c r="F1917" s="65"/>
      <c r="G1917" s="65"/>
    </row>
    <row r="1918">
      <c r="A1918" s="65"/>
      <c r="B1918" s="65"/>
      <c r="C1918" s="65"/>
      <c r="D1918" s="65"/>
      <c r="E1918" s="65"/>
      <c r="F1918" s="65"/>
      <c r="G1918" s="65"/>
    </row>
    <row r="1919">
      <c r="A1919" s="65"/>
      <c r="B1919" s="65"/>
      <c r="C1919" s="65"/>
      <c r="D1919" s="65"/>
      <c r="E1919" s="65"/>
      <c r="F1919" s="65"/>
      <c r="G1919" s="65"/>
    </row>
    <row r="1920">
      <c r="A1920" s="65"/>
      <c r="B1920" s="65"/>
      <c r="C1920" s="65"/>
      <c r="D1920" s="65"/>
      <c r="E1920" s="65"/>
      <c r="F1920" s="65"/>
      <c r="G1920" s="65"/>
    </row>
    <row r="1921">
      <c r="A1921" s="65"/>
      <c r="B1921" s="65"/>
      <c r="C1921" s="65"/>
      <c r="D1921" s="65"/>
      <c r="E1921" s="65"/>
      <c r="F1921" s="65"/>
      <c r="G1921" s="65"/>
    </row>
    <row r="1922">
      <c r="A1922" s="65"/>
      <c r="B1922" s="65"/>
      <c r="C1922" s="65"/>
      <c r="D1922" s="65"/>
      <c r="E1922" s="65"/>
      <c r="F1922" s="65"/>
      <c r="G1922" s="65"/>
    </row>
    <row r="1923">
      <c r="A1923" s="65"/>
      <c r="B1923" s="65"/>
      <c r="C1923" s="65"/>
      <c r="D1923" s="65"/>
      <c r="E1923" s="65"/>
      <c r="F1923" s="65"/>
      <c r="G1923" s="65"/>
    </row>
    <row r="1924">
      <c r="A1924" s="65"/>
      <c r="B1924" s="65"/>
      <c r="C1924" s="65"/>
      <c r="D1924" s="65"/>
      <c r="E1924" s="65"/>
      <c r="F1924" s="65"/>
      <c r="G1924" s="65"/>
    </row>
    <row r="1925">
      <c r="A1925" s="65"/>
      <c r="B1925" s="65"/>
      <c r="C1925" s="65"/>
      <c r="D1925" s="65"/>
      <c r="E1925" s="65"/>
      <c r="F1925" s="65"/>
      <c r="G1925" s="65"/>
    </row>
    <row r="1926">
      <c r="A1926" s="65"/>
      <c r="B1926" s="65"/>
      <c r="C1926" s="65"/>
      <c r="D1926" s="65"/>
      <c r="E1926" s="65"/>
      <c r="F1926" s="65"/>
      <c r="G1926" s="65"/>
    </row>
    <row r="1927">
      <c r="A1927" s="65"/>
      <c r="B1927" s="65"/>
      <c r="C1927" s="65"/>
      <c r="D1927" s="65"/>
      <c r="E1927" s="65"/>
      <c r="F1927" s="65"/>
      <c r="G1927" s="65"/>
    </row>
    <row r="1928">
      <c r="A1928" s="65"/>
      <c r="B1928" s="65"/>
      <c r="C1928" s="65"/>
      <c r="D1928" s="65"/>
      <c r="E1928" s="65"/>
      <c r="F1928" s="65"/>
      <c r="G1928" s="65"/>
    </row>
    <row r="1929">
      <c r="A1929" s="65"/>
      <c r="B1929" s="65"/>
      <c r="C1929" s="65"/>
      <c r="D1929" s="65"/>
      <c r="E1929" s="65"/>
      <c r="F1929" s="65"/>
      <c r="G1929" s="65"/>
    </row>
    <row r="1930">
      <c r="A1930" s="65"/>
      <c r="B1930" s="65"/>
      <c r="C1930" s="65"/>
      <c r="D1930" s="65"/>
      <c r="E1930" s="65"/>
      <c r="F1930" s="65"/>
      <c r="G1930" s="65"/>
    </row>
    <row r="1931">
      <c r="A1931" s="65"/>
      <c r="B1931" s="65"/>
      <c r="C1931" s="65"/>
      <c r="D1931" s="65"/>
      <c r="E1931" s="65"/>
      <c r="F1931" s="65"/>
      <c r="G1931" s="65"/>
    </row>
    <row r="1932">
      <c r="A1932" s="65"/>
      <c r="B1932" s="65"/>
      <c r="C1932" s="65"/>
      <c r="D1932" s="65"/>
      <c r="E1932" s="65"/>
      <c r="F1932" s="65"/>
      <c r="G1932" s="65"/>
    </row>
    <row r="1933">
      <c r="A1933" s="65"/>
      <c r="B1933" s="65"/>
      <c r="C1933" s="65"/>
      <c r="D1933" s="65"/>
      <c r="E1933" s="65"/>
      <c r="F1933" s="65"/>
      <c r="G1933" s="65"/>
    </row>
    <row r="1934">
      <c r="A1934" s="65"/>
      <c r="B1934" s="65"/>
      <c r="C1934" s="65"/>
      <c r="D1934" s="65"/>
      <c r="E1934" s="65"/>
      <c r="F1934" s="65"/>
      <c r="G1934" s="65"/>
    </row>
    <row r="1935">
      <c r="A1935" s="65"/>
      <c r="B1935" s="65"/>
      <c r="C1935" s="65"/>
      <c r="D1935" s="65"/>
      <c r="E1935" s="65"/>
      <c r="F1935" s="65"/>
      <c r="G1935" s="65"/>
    </row>
    <row r="1936">
      <c r="A1936" s="65"/>
      <c r="B1936" s="65"/>
      <c r="C1936" s="65"/>
      <c r="D1936" s="65"/>
      <c r="E1936" s="65"/>
      <c r="F1936" s="65"/>
      <c r="G1936" s="65"/>
    </row>
    <row r="1937">
      <c r="A1937" s="65"/>
      <c r="B1937" s="65"/>
      <c r="C1937" s="65"/>
      <c r="D1937" s="65"/>
      <c r="E1937" s="65"/>
      <c r="F1937" s="65"/>
      <c r="G1937" s="65"/>
    </row>
    <row r="1938">
      <c r="A1938" s="65"/>
      <c r="B1938" s="65"/>
      <c r="C1938" s="65"/>
      <c r="D1938" s="65"/>
      <c r="E1938" s="65"/>
      <c r="F1938" s="65"/>
      <c r="G1938" s="65"/>
    </row>
    <row r="1939">
      <c r="A1939" s="65"/>
      <c r="B1939" s="65"/>
      <c r="C1939" s="65"/>
      <c r="D1939" s="65"/>
      <c r="E1939" s="65"/>
      <c r="F1939" s="65"/>
      <c r="G1939" s="65"/>
    </row>
    <row r="1940">
      <c r="A1940" s="65"/>
      <c r="B1940" s="65"/>
      <c r="C1940" s="65"/>
      <c r="D1940" s="65"/>
      <c r="E1940" s="65"/>
      <c r="F1940" s="65"/>
      <c r="G1940" s="65"/>
    </row>
    <row r="1941">
      <c r="A1941" s="65"/>
      <c r="B1941" s="65"/>
      <c r="C1941" s="65"/>
      <c r="D1941" s="65"/>
      <c r="E1941" s="65"/>
      <c r="F1941" s="65"/>
      <c r="G1941" s="65"/>
    </row>
    <row r="1942">
      <c r="A1942" s="65"/>
      <c r="B1942" s="65"/>
      <c r="C1942" s="65"/>
      <c r="D1942" s="65"/>
      <c r="E1942" s="65"/>
      <c r="F1942" s="65"/>
      <c r="G1942" s="65"/>
    </row>
    <row r="1943">
      <c r="A1943" s="65"/>
      <c r="B1943" s="65"/>
      <c r="C1943" s="65"/>
      <c r="D1943" s="65"/>
      <c r="E1943" s="65"/>
      <c r="F1943" s="65"/>
      <c r="G1943" s="65"/>
    </row>
    <row r="1944">
      <c r="A1944" s="65"/>
      <c r="B1944" s="65"/>
      <c r="C1944" s="65"/>
      <c r="D1944" s="65"/>
      <c r="E1944" s="65"/>
      <c r="F1944" s="65"/>
      <c r="G1944" s="65"/>
    </row>
    <row r="1945">
      <c r="A1945" s="65"/>
      <c r="B1945" s="65"/>
      <c r="C1945" s="65"/>
      <c r="D1945" s="65"/>
      <c r="E1945" s="65"/>
      <c r="F1945" s="65"/>
      <c r="G1945" s="65"/>
    </row>
    <row r="1946">
      <c r="A1946" s="65"/>
      <c r="B1946" s="65"/>
      <c r="C1946" s="65"/>
      <c r="D1946" s="65"/>
      <c r="E1946" s="65"/>
      <c r="F1946" s="65"/>
      <c r="G1946" s="65"/>
    </row>
    <row r="1947">
      <c r="A1947" s="65"/>
      <c r="B1947" s="65"/>
      <c r="C1947" s="65"/>
      <c r="D1947" s="65"/>
      <c r="E1947" s="65"/>
      <c r="F1947" s="65"/>
      <c r="G1947" s="65"/>
    </row>
    <row r="1948">
      <c r="A1948" s="65"/>
      <c r="B1948" s="65"/>
      <c r="C1948" s="65"/>
      <c r="D1948" s="65"/>
      <c r="E1948" s="65"/>
      <c r="F1948" s="65"/>
      <c r="G1948" s="65"/>
    </row>
    <row r="1949">
      <c r="A1949" s="65"/>
      <c r="B1949" s="65"/>
      <c r="C1949" s="65"/>
      <c r="D1949" s="65"/>
      <c r="E1949" s="65"/>
      <c r="F1949" s="65"/>
      <c r="G1949" s="65"/>
    </row>
    <row r="1950">
      <c r="A1950" s="65"/>
      <c r="B1950" s="65"/>
      <c r="C1950" s="65"/>
      <c r="D1950" s="65"/>
      <c r="E1950" s="65"/>
      <c r="F1950" s="65"/>
      <c r="G1950" s="65"/>
    </row>
    <row r="1951">
      <c r="A1951" s="65"/>
      <c r="B1951" s="65"/>
      <c r="C1951" s="65"/>
      <c r="D1951" s="65"/>
      <c r="E1951" s="65"/>
      <c r="F1951" s="65"/>
      <c r="G1951" s="65"/>
    </row>
    <row r="1952">
      <c r="A1952" s="65"/>
      <c r="B1952" s="65"/>
      <c r="C1952" s="65"/>
      <c r="D1952" s="65"/>
      <c r="E1952" s="65"/>
      <c r="F1952" s="65"/>
      <c r="G1952" s="65"/>
    </row>
    <row r="1953">
      <c r="A1953" s="65"/>
      <c r="B1953" s="65"/>
      <c r="C1953" s="65"/>
      <c r="D1953" s="65"/>
      <c r="E1953" s="65"/>
      <c r="F1953" s="65"/>
      <c r="G1953" s="65"/>
    </row>
    <row r="1954">
      <c r="A1954" s="65"/>
      <c r="B1954" s="65"/>
      <c r="C1954" s="65"/>
      <c r="D1954" s="65"/>
      <c r="E1954" s="65"/>
      <c r="F1954" s="65"/>
      <c r="G1954" s="65"/>
    </row>
  </sheetData>
  <hyperlinks>
    <hyperlink r:id="rId1" ref="G29"/>
    <hyperlink r:id="rId2" ref="G31"/>
    <hyperlink r:id="rId3" ref="G35"/>
    <hyperlink r:id="rId4" ref="G37"/>
    <hyperlink r:id="rId5" ref="G38"/>
    <hyperlink r:id="rId6" ref="G40"/>
    <hyperlink r:id="rId7" ref="G42"/>
    <hyperlink r:id="rId8" ref="G45"/>
    <hyperlink r:id="rId9" ref="G46"/>
    <hyperlink r:id="rId10" ref="G47"/>
    <hyperlink r:id="rId11" ref="G48"/>
    <hyperlink r:id="rId12" ref="G49"/>
    <hyperlink r:id="rId13" ref="G50"/>
    <hyperlink r:id="rId14" ref="G51"/>
    <hyperlink r:id="rId15" ref="G52"/>
    <hyperlink r:id="rId16" ref="G54"/>
    <hyperlink r:id="rId17" ref="G56"/>
    <hyperlink r:id="rId18" ref="G87"/>
    <hyperlink r:id="rId19" ref="G88"/>
    <hyperlink r:id="rId20" ref="G105"/>
    <hyperlink r:id="rId21" ref="G106"/>
    <hyperlink r:id="rId22" ref="G117"/>
    <hyperlink r:id="rId23" ref="G130"/>
    <hyperlink r:id="rId24" ref="G131"/>
    <hyperlink r:id="rId25" ref="G132"/>
    <hyperlink r:id="rId26" ref="G133"/>
    <hyperlink r:id="rId27" ref="G134"/>
    <hyperlink r:id="rId28" ref="G135"/>
    <hyperlink r:id="rId29" ref="G136"/>
    <hyperlink r:id="rId30" ref="G137"/>
    <hyperlink r:id="rId31" ref="G138"/>
    <hyperlink r:id="rId32" ref="G139"/>
    <hyperlink r:id="rId33" ref="G140"/>
    <hyperlink r:id="rId34" ref="G141"/>
    <hyperlink r:id="rId35" ref="G142"/>
    <hyperlink r:id="rId36" ref="G143"/>
    <hyperlink r:id="rId37" ref="G144"/>
    <hyperlink r:id="rId38" ref="G145"/>
    <hyperlink r:id="rId39" ref="G146"/>
    <hyperlink r:id="rId40" ref="G147"/>
    <hyperlink r:id="rId41" ref="G148"/>
    <hyperlink r:id="rId42" ref="G149"/>
    <hyperlink r:id="rId43" ref="G150"/>
    <hyperlink r:id="rId44" ref="G151"/>
    <hyperlink r:id="rId45" ref="G152"/>
    <hyperlink r:id="rId46" ref="G153"/>
    <hyperlink r:id="rId47" ref="G154"/>
    <hyperlink r:id="rId48" ref="G155"/>
    <hyperlink r:id="rId49" ref="G156"/>
    <hyperlink r:id="rId50" ref="G158"/>
    <hyperlink r:id="rId51" ref="G159"/>
    <hyperlink r:id="rId52" ref="G160"/>
    <hyperlink r:id="rId53" ref="G161"/>
    <hyperlink r:id="rId54" ref="G162"/>
    <hyperlink r:id="rId55" ref="G163"/>
    <hyperlink r:id="rId56" ref="G164"/>
    <hyperlink r:id="rId57" ref="G165"/>
    <hyperlink r:id="rId58" ref="G166"/>
    <hyperlink r:id="rId59" ref="G167"/>
    <hyperlink r:id="rId60" ref="G168"/>
    <hyperlink r:id="rId61" ref="G169"/>
    <hyperlink r:id="rId62" ref="G170"/>
    <hyperlink r:id="rId63" ref="G171"/>
    <hyperlink r:id="rId64" ref="G172"/>
    <hyperlink r:id="rId65" ref="G173"/>
    <hyperlink r:id="rId66" ref="G174"/>
    <hyperlink r:id="rId67" ref="G175"/>
    <hyperlink r:id="rId68" ref="G176"/>
    <hyperlink r:id="rId69" ref="G177"/>
    <hyperlink r:id="rId70" ref="G178"/>
    <hyperlink r:id="rId71" ref="G179"/>
    <hyperlink r:id="rId72" ref="G180"/>
    <hyperlink r:id="rId73" ref="G181"/>
    <hyperlink r:id="rId74" ref="G182"/>
    <hyperlink r:id="rId75" ref="G183"/>
    <hyperlink r:id="rId76" ref="G184"/>
    <hyperlink r:id="rId77" ref="G185"/>
    <hyperlink r:id="rId78" ref="G186"/>
    <hyperlink r:id="rId79" ref="G187"/>
    <hyperlink r:id="rId80" ref="G188"/>
    <hyperlink r:id="rId81" ref="G189"/>
    <hyperlink r:id="rId82" ref="G190"/>
    <hyperlink r:id="rId83" ref="G191"/>
    <hyperlink r:id="rId84" ref="G192"/>
    <hyperlink r:id="rId85" ref="G193"/>
    <hyperlink r:id="rId86" ref="G194"/>
    <hyperlink r:id="rId87" ref="G195"/>
    <hyperlink r:id="rId88" ref="G196"/>
    <hyperlink r:id="rId89" ref="G197"/>
    <hyperlink r:id="rId90" ref="G198"/>
    <hyperlink r:id="rId91" ref="G199"/>
    <hyperlink r:id="rId92" ref="G200"/>
    <hyperlink r:id="rId93" ref="G201"/>
    <hyperlink r:id="rId94" ref="G202"/>
    <hyperlink r:id="rId95" ref="G203"/>
    <hyperlink r:id="rId96" ref="G204"/>
    <hyperlink r:id="rId97" ref="G205"/>
    <hyperlink r:id="rId98" ref="G206"/>
    <hyperlink r:id="rId99" ref="G207"/>
    <hyperlink r:id="rId100" ref="G208"/>
    <hyperlink r:id="rId101" ref="G209"/>
    <hyperlink r:id="rId102" ref="G210"/>
    <hyperlink r:id="rId103" ref="G211"/>
    <hyperlink r:id="rId104" ref="G212"/>
    <hyperlink r:id="rId105" ref="G213"/>
    <hyperlink r:id="rId106" ref="G214"/>
    <hyperlink r:id="rId107" ref="G215"/>
    <hyperlink r:id="rId108" ref="G216"/>
    <hyperlink r:id="rId109" ref="G217"/>
    <hyperlink r:id="rId110" ref="G218"/>
    <hyperlink r:id="rId111" ref="G219"/>
    <hyperlink r:id="rId112" ref="G220"/>
    <hyperlink r:id="rId113" ref="G221"/>
    <hyperlink r:id="rId114" ref="G222"/>
    <hyperlink r:id="rId115" ref="G223"/>
    <hyperlink r:id="rId116" ref="G224"/>
    <hyperlink r:id="rId117" ref="G225"/>
    <hyperlink r:id="rId118" ref="G226"/>
    <hyperlink r:id="rId119" ref="G227"/>
    <hyperlink r:id="rId120" ref="G228"/>
    <hyperlink r:id="rId121" ref="G229"/>
    <hyperlink r:id="rId122" ref="G230"/>
    <hyperlink r:id="rId123" ref="G231"/>
    <hyperlink r:id="rId124" ref="G232"/>
    <hyperlink r:id="rId125" ref="G233"/>
    <hyperlink r:id="rId126" ref="G234"/>
    <hyperlink r:id="rId127" ref="G235"/>
    <hyperlink r:id="rId128" ref="G236"/>
    <hyperlink r:id="rId129" ref="G237"/>
    <hyperlink r:id="rId130" ref="G238"/>
    <hyperlink r:id="rId131" ref="G239"/>
    <hyperlink r:id="rId132" ref="G240"/>
    <hyperlink r:id="rId133" ref="G241"/>
    <hyperlink r:id="rId134" ref="G242"/>
    <hyperlink r:id="rId135" ref="G243"/>
    <hyperlink r:id="rId136" ref="G244"/>
    <hyperlink r:id="rId137" ref="G245"/>
    <hyperlink r:id="rId138" ref="G246"/>
    <hyperlink r:id="rId139" ref="G247"/>
    <hyperlink r:id="rId140" ref="G248"/>
    <hyperlink r:id="rId141" ref="G249"/>
    <hyperlink r:id="rId142" ref="G250"/>
    <hyperlink r:id="rId143" ref="G251"/>
    <hyperlink r:id="rId144" ref="G252"/>
    <hyperlink r:id="rId145" ref="G253"/>
    <hyperlink r:id="rId146" ref="G254"/>
    <hyperlink r:id="rId147" ref="G255"/>
    <hyperlink r:id="rId148" ref="G256"/>
    <hyperlink r:id="rId149" ref="G257"/>
    <hyperlink r:id="rId150" ref="G258"/>
    <hyperlink r:id="rId151" ref="G259"/>
    <hyperlink r:id="rId152" ref="G260"/>
    <hyperlink r:id="rId153" ref="G261"/>
    <hyperlink r:id="rId154" ref="G262"/>
    <hyperlink r:id="rId155" ref="G263"/>
    <hyperlink r:id="rId156" ref="G264"/>
    <hyperlink r:id="rId157" ref="G265"/>
    <hyperlink r:id="rId158" ref="G266"/>
    <hyperlink r:id="rId159" ref="G267"/>
    <hyperlink r:id="rId160" ref="G268"/>
    <hyperlink r:id="rId161" ref="G269"/>
    <hyperlink r:id="rId162" ref="G270"/>
    <hyperlink r:id="rId163" ref="G271"/>
    <hyperlink r:id="rId164" ref="G272"/>
    <hyperlink r:id="rId165" ref="G273"/>
    <hyperlink r:id="rId166" ref="G274"/>
    <hyperlink r:id="rId167" ref="G275"/>
    <hyperlink r:id="rId168" ref="G276"/>
    <hyperlink r:id="rId169" ref="G277"/>
    <hyperlink r:id="rId170" ref="G278"/>
    <hyperlink r:id="rId171" ref="G279"/>
    <hyperlink r:id="rId172" ref="G280"/>
    <hyperlink r:id="rId173" ref="G281"/>
    <hyperlink r:id="rId174" ref="G282"/>
    <hyperlink r:id="rId175" ref="G283"/>
    <hyperlink r:id="rId176" ref="G284"/>
    <hyperlink r:id="rId177" ref="G285"/>
    <hyperlink r:id="rId178" ref="G286"/>
    <hyperlink r:id="rId179" ref="G287"/>
    <hyperlink r:id="rId180" ref="G288"/>
    <hyperlink r:id="rId181" ref="G289"/>
    <hyperlink r:id="rId182" ref="G290"/>
    <hyperlink r:id="rId183" ref="G291"/>
    <hyperlink r:id="rId184" ref="G292"/>
    <hyperlink r:id="rId185" ref="G293"/>
    <hyperlink r:id="rId186" ref="G294"/>
    <hyperlink r:id="rId187" ref="G295"/>
    <hyperlink r:id="rId188" ref="G296"/>
    <hyperlink r:id="rId189" ref="G297"/>
    <hyperlink r:id="rId190" ref="G298"/>
    <hyperlink r:id="rId191" ref="G299"/>
    <hyperlink r:id="rId192" ref="G300"/>
    <hyperlink r:id="rId193" ref="G301"/>
    <hyperlink r:id="rId194" ref="G302"/>
    <hyperlink r:id="rId195" ref="G303"/>
    <hyperlink r:id="rId196" ref="G304"/>
    <hyperlink r:id="rId197" ref="G305"/>
    <hyperlink r:id="rId198" ref="G306"/>
    <hyperlink r:id="rId199" ref="G307"/>
    <hyperlink r:id="rId200" ref="G308"/>
    <hyperlink r:id="rId201" ref="G309"/>
    <hyperlink r:id="rId202" ref="G310"/>
    <hyperlink r:id="rId203" ref="G311"/>
    <hyperlink r:id="rId204" ref="G312"/>
    <hyperlink r:id="rId205" ref="G313"/>
    <hyperlink r:id="rId206" ref="G314"/>
    <hyperlink r:id="rId207" ref="G315"/>
    <hyperlink r:id="rId208" ref="G316"/>
    <hyperlink r:id="rId209" ref="G317"/>
    <hyperlink r:id="rId210" ref="G318"/>
    <hyperlink r:id="rId211" ref="G319"/>
    <hyperlink r:id="rId212" ref="G320"/>
    <hyperlink r:id="rId213" ref="G321"/>
    <hyperlink r:id="rId214" ref="G322"/>
    <hyperlink r:id="rId215" ref="G323"/>
    <hyperlink r:id="rId216" ref="G324"/>
    <hyperlink r:id="rId217" ref="G325"/>
    <hyperlink r:id="rId218" ref="G326"/>
    <hyperlink r:id="rId219" ref="G327"/>
    <hyperlink r:id="rId220" ref="G328"/>
    <hyperlink r:id="rId221" ref="G329"/>
    <hyperlink r:id="rId222" ref="G330"/>
    <hyperlink r:id="rId223" ref="G331"/>
    <hyperlink r:id="rId224" ref="G332"/>
    <hyperlink r:id="rId225" ref="G333"/>
    <hyperlink r:id="rId226" ref="G334"/>
    <hyperlink r:id="rId227" ref="G335"/>
    <hyperlink r:id="rId228" ref="G336"/>
    <hyperlink r:id="rId229" ref="G337"/>
    <hyperlink r:id="rId230" ref="G338"/>
    <hyperlink r:id="rId231" ref="G339"/>
    <hyperlink r:id="rId232" ref="G340"/>
    <hyperlink r:id="rId233" ref="G341"/>
    <hyperlink r:id="rId234" ref="G342"/>
    <hyperlink r:id="rId235" ref="G343"/>
    <hyperlink r:id="rId236" ref="G344"/>
    <hyperlink r:id="rId237" ref="G345"/>
    <hyperlink r:id="rId238" ref="G346"/>
    <hyperlink r:id="rId239" ref="G347"/>
    <hyperlink r:id="rId240" ref="G348"/>
    <hyperlink r:id="rId241" ref="G349"/>
    <hyperlink r:id="rId242" ref="G350"/>
    <hyperlink r:id="rId243" ref="G351"/>
    <hyperlink r:id="rId244" ref="G352"/>
    <hyperlink r:id="rId245" ref="G353"/>
    <hyperlink r:id="rId246" ref="G354"/>
    <hyperlink r:id="rId247" ref="G355"/>
    <hyperlink r:id="rId248" ref="G356"/>
    <hyperlink r:id="rId249" ref="G357"/>
    <hyperlink r:id="rId250" ref="G358"/>
    <hyperlink r:id="rId251" ref="G359"/>
    <hyperlink r:id="rId252" ref="G360"/>
    <hyperlink r:id="rId253" ref="G361"/>
    <hyperlink r:id="rId254" ref="G362"/>
    <hyperlink r:id="rId255" ref="G363"/>
    <hyperlink r:id="rId256" ref="G364"/>
    <hyperlink r:id="rId257" ref="G365"/>
    <hyperlink r:id="rId258" ref="G366"/>
    <hyperlink r:id="rId259" ref="G367"/>
    <hyperlink r:id="rId260" ref="G368"/>
    <hyperlink r:id="rId261" ref="G369"/>
    <hyperlink r:id="rId262" ref="G370"/>
    <hyperlink r:id="rId263" ref="G371"/>
    <hyperlink r:id="rId264" ref="G372"/>
    <hyperlink r:id="rId265" ref="G373"/>
    <hyperlink r:id="rId266" ref="G374"/>
    <hyperlink r:id="rId267" ref="G375"/>
    <hyperlink r:id="rId268" ref="G376"/>
    <hyperlink r:id="rId269" ref="G377"/>
    <hyperlink r:id="rId270" ref="G378"/>
    <hyperlink r:id="rId271" ref="G379"/>
    <hyperlink r:id="rId272" ref="G380"/>
    <hyperlink r:id="rId273" ref="G381"/>
    <hyperlink r:id="rId274" ref="G382"/>
    <hyperlink r:id="rId275" ref="G383"/>
    <hyperlink r:id="rId276" ref="G384"/>
    <hyperlink r:id="rId277" ref="G385"/>
    <hyperlink r:id="rId278" ref="G386"/>
    <hyperlink r:id="rId279" ref="G387"/>
    <hyperlink r:id="rId280" ref="G388"/>
    <hyperlink r:id="rId281" ref="G389"/>
    <hyperlink r:id="rId282" ref="G390"/>
    <hyperlink r:id="rId283" ref="G391"/>
    <hyperlink r:id="rId284" ref="G392"/>
    <hyperlink r:id="rId285" ref="G393"/>
    <hyperlink r:id="rId286" ref="G394"/>
    <hyperlink r:id="rId287" ref="G395"/>
    <hyperlink r:id="rId288" ref="G396"/>
    <hyperlink r:id="rId289" ref="G397"/>
    <hyperlink r:id="rId290" ref="G398"/>
    <hyperlink r:id="rId291" ref="G399"/>
    <hyperlink r:id="rId292" ref="G400"/>
    <hyperlink r:id="rId293" ref="G401"/>
    <hyperlink r:id="rId294" ref="G402"/>
    <hyperlink r:id="rId295" ref="G403"/>
    <hyperlink r:id="rId296" ref="G404"/>
    <hyperlink r:id="rId297" ref="G405"/>
    <hyperlink r:id="rId298" ref="G406"/>
    <hyperlink r:id="rId299" ref="G407"/>
    <hyperlink r:id="rId300" ref="G408"/>
    <hyperlink r:id="rId301" ref="G409"/>
    <hyperlink r:id="rId302" ref="G410"/>
    <hyperlink r:id="rId303" ref="G411"/>
    <hyperlink r:id="rId304" ref="G412"/>
    <hyperlink r:id="rId305" ref="G413"/>
    <hyperlink r:id="rId306" ref="G414"/>
    <hyperlink r:id="rId307" ref="G415"/>
    <hyperlink r:id="rId308" ref="G416"/>
    <hyperlink r:id="rId309" ref="G417"/>
    <hyperlink r:id="rId310" ref="G418"/>
    <hyperlink r:id="rId311" ref="G419"/>
    <hyperlink r:id="rId312" ref="G420"/>
    <hyperlink r:id="rId313" ref="G421"/>
    <hyperlink r:id="rId314" ref="G422"/>
    <hyperlink r:id="rId315" ref="G423"/>
    <hyperlink r:id="rId316" ref="G424"/>
    <hyperlink r:id="rId317" ref="G425"/>
    <hyperlink r:id="rId318" ref="G426"/>
    <hyperlink r:id="rId319" ref="G427"/>
    <hyperlink r:id="rId320" ref="G428"/>
    <hyperlink r:id="rId321" ref="G429"/>
    <hyperlink r:id="rId322" ref="G430"/>
    <hyperlink r:id="rId323" ref="G431"/>
    <hyperlink r:id="rId324" ref="G432"/>
    <hyperlink r:id="rId325" ref="G433"/>
    <hyperlink r:id="rId326" ref="G434"/>
    <hyperlink r:id="rId327" ref="G435"/>
    <hyperlink r:id="rId328" ref="G436"/>
    <hyperlink r:id="rId329" ref="G437"/>
    <hyperlink r:id="rId330" ref="G438"/>
    <hyperlink r:id="rId331" ref="G439"/>
    <hyperlink r:id="rId332" ref="G440"/>
    <hyperlink r:id="rId333" ref="G441"/>
    <hyperlink r:id="rId334" ref="G442"/>
    <hyperlink r:id="rId335" ref="G443"/>
    <hyperlink r:id="rId336" ref="G444"/>
    <hyperlink r:id="rId337" ref="G445"/>
    <hyperlink r:id="rId338" ref="G446"/>
    <hyperlink r:id="rId339" ref="G447"/>
    <hyperlink r:id="rId340" ref="G448"/>
    <hyperlink r:id="rId341" ref="G449"/>
    <hyperlink r:id="rId342" ref="G450"/>
    <hyperlink r:id="rId343" ref="G451"/>
    <hyperlink r:id="rId344" ref="G452"/>
    <hyperlink r:id="rId345" ref="G453"/>
    <hyperlink r:id="rId346" ref="G454"/>
    <hyperlink r:id="rId347" ref="G455"/>
    <hyperlink r:id="rId348" ref="G456"/>
    <hyperlink r:id="rId349" ref="G457"/>
    <hyperlink r:id="rId350" ref="G458"/>
    <hyperlink r:id="rId351" ref="G459"/>
    <hyperlink r:id="rId352" ref="G460"/>
    <hyperlink r:id="rId353" ref="G461"/>
    <hyperlink r:id="rId354" ref="G462"/>
    <hyperlink r:id="rId355" ref="G463"/>
    <hyperlink r:id="rId356" ref="G464"/>
    <hyperlink r:id="rId357" ref="G465"/>
    <hyperlink r:id="rId358" ref="G467"/>
    <hyperlink r:id="rId359" ref="G468"/>
    <hyperlink r:id="rId360" ref="G469"/>
    <hyperlink r:id="rId361" ref="G470"/>
    <hyperlink r:id="rId362" ref="G471"/>
    <hyperlink r:id="rId363" ref="G472"/>
    <hyperlink r:id="rId364" ref="G473"/>
    <hyperlink r:id="rId365" ref="G474"/>
    <hyperlink r:id="rId366" ref="G475"/>
    <hyperlink r:id="rId367" ref="G476"/>
    <hyperlink r:id="rId368" ref="G477"/>
    <hyperlink r:id="rId369" ref="G478"/>
    <hyperlink r:id="rId370" ref="G479"/>
    <hyperlink r:id="rId371" ref="G480"/>
    <hyperlink r:id="rId372" ref="G481"/>
    <hyperlink r:id="rId373" ref="G482"/>
    <hyperlink r:id="rId374" ref="G483"/>
    <hyperlink r:id="rId375" ref="G484"/>
    <hyperlink r:id="rId376" ref="G485"/>
    <hyperlink r:id="rId377" ref="G486"/>
    <hyperlink r:id="rId378" ref="G487"/>
    <hyperlink r:id="rId379" ref="G488"/>
    <hyperlink r:id="rId380" ref="G489"/>
    <hyperlink r:id="rId381" ref="G490"/>
    <hyperlink r:id="rId382" ref="G491"/>
    <hyperlink r:id="rId383" ref="G492"/>
    <hyperlink r:id="rId384" ref="G493"/>
    <hyperlink r:id="rId385" ref="G494"/>
    <hyperlink r:id="rId386" ref="G495"/>
    <hyperlink r:id="rId387" ref="G496"/>
    <hyperlink r:id="rId388" ref="G497"/>
    <hyperlink r:id="rId389" ref="G498"/>
    <hyperlink r:id="rId390" ref="G499"/>
    <hyperlink r:id="rId391" ref="G500"/>
    <hyperlink r:id="rId392" ref="G501"/>
    <hyperlink r:id="rId393" ref="G502"/>
    <hyperlink r:id="rId394" ref="G503"/>
    <hyperlink r:id="rId395" ref="G504"/>
    <hyperlink r:id="rId396" ref="G505"/>
    <hyperlink r:id="rId397" ref="G506"/>
    <hyperlink r:id="rId398" ref="G507"/>
    <hyperlink r:id="rId399" ref="G508"/>
    <hyperlink r:id="rId400" ref="G509"/>
    <hyperlink r:id="rId401" ref="G510"/>
    <hyperlink r:id="rId402" ref="G511"/>
    <hyperlink r:id="rId403" ref="G512"/>
    <hyperlink r:id="rId404" ref="G513"/>
    <hyperlink r:id="rId405" ref="G514"/>
    <hyperlink r:id="rId406" ref="G515"/>
    <hyperlink r:id="rId407" ref="G516"/>
    <hyperlink r:id="rId408" ref="G517"/>
    <hyperlink r:id="rId409" ref="G518"/>
    <hyperlink r:id="rId410" ref="G519"/>
    <hyperlink r:id="rId411" ref="G520"/>
    <hyperlink r:id="rId412" ref="G521"/>
    <hyperlink r:id="rId413" ref="G522"/>
    <hyperlink r:id="rId414" ref="G523"/>
    <hyperlink r:id="rId415" ref="G524"/>
    <hyperlink r:id="rId416" ref="G525"/>
    <hyperlink r:id="rId417" ref="G526"/>
    <hyperlink r:id="rId418" ref="G527"/>
    <hyperlink r:id="rId419" ref="G528"/>
    <hyperlink r:id="rId420" ref="G529"/>
    <hyperlink r:id="rId421" ref="G530"/>
    <hyperlink r:id="rId422" ref="G531"/>
    <hyperlink r:id="rId423" ref="G532"/>
    <hyperlink r:id="rId424" ref="G533"/>
    <hyperlink r:id="rId425" ref="G534"/>
    <hyperlink r:id="rId426" ref="G535"/>
    <hyperlink r:id="rId427" ref="G536"/>
    <hyperlink r:id="rId428" ref="G537"/>
    <hyperlink r:id="rId429" ref="G538"/>
    <hyperlink r:id="rId430" ref="G539"/>
    <hyperlink r:id="rId431" ref="G540"/>
    <hyperlink r:id="rId432" ref="G541"/>
    <hyperlink r:id="rId433" ref="G542"/>
    <hyperlink r:id="rId434" ref="G543"/>
    <hyperlink r:id="rId435" ref="G544"/>
    <hyperlink r:id="rId436" ref="G545"/>
    <hyperlink r:id="rId437" ref="G546"/>
    <hyperlink r:id="rId438" ref="G547"/>
    <hyperlink r:id="rId439" ref="G548"/>
    <hyperlink r:id="rId440" ref="G549"/>
    <hyperlink r:id="rId441" ref="G551"/>
    <hyperlink r:id="rId442" ref="G552"/>
    <hyperlink r:id="rId443" ref="G553"/>
    <hyperlink r:id="rId444" ref="G554"/>
    <hyperlink r:id="rId445" ref="G555"/>
    <hyperlink r:id="rId446" ref="G556"/>
    <hyperlink r:id="rId447" ref="G557"/>
    <hyperlink r:id="rId448" ref="G558"/>
    <hyperlink r:id="rId449" ref="G559"/>
    <hyperlink r:id="rId450" ref="G560"/>
    <hyperlink r:id="rId451" ref="G561"/>
    <hyperlink r:id="rId452" ref="G562"/>
    <hyperlink r:id="rId453" ref="G563"/>
    <hyperlink r:id="rId454" ref="G564"/>
    <hyperlink r:id="rId455" ref="G565"/>
    <hyperlink r:id="rId456" ref="G566"/>
    <hyperlink r:id="rId457" ref="G567"/>
    <hyperlink r:id="rId458" ref="G568"/>
    <hyperlink r:id="rId459" ref="G569"/>
    <hyperlink r:id="rId460" ref="G570"/>
    <hyperlink r:id="rId461" ref="G571"/>
    <hyperlink r:id="rId462" ref="G572"/>
    <hyperlink r:id="rId463" ref="G573"/>
    <hyperlink r:id="rId464" ref="G574"/>
    <hyperlink r:id="rId465" ref="G575"/>
    <hyperlink r:id="rId466" ref="G576"/>
    <hyperlink r:id="rId467" ref="G577"/>
    <hyperlink r:id="rId468" ref="G578"/>
    <hyperlink r:id="rId469" ref="G579"/>
    <hyperlink r:id="rId470" ref="G580"/>
    <hyperlink r:id="rId471" ref="G581"/>
    <hyperlink r:id="rId472" ref="G582"/>
    <hyperlink r:id="rId473" ref="G583"/>
    <hyperlink r:id="rId474" ref="G584"/>
    <hyperlink r:id="rId475" ref="G585"/>
    <hyperlink r:id="rId476" ref="G586"/>
    <hyperlink r:id="rId477" ref="G587"/>
    <hyperlink r:id="rId478" ref="G588"/>
    <hyperlink r:id="rId479" ref="G589"/>
    <hyperlink r:id="rId480" ref="G590"/>
    <hyperlink r:id="rId481" ref="G591"/>
    <hyperlink r:id="rId482" ref="G592"/>
    <hyperlink r:id="rId483" ref="G593"/>
    <hyperlink r:id="rId484" ref="G594"/>
    <hyperlink r:id="rId485" ref="G595"/>
    <hyperlink r:id="rId486" ref="G596"/>
    <hyperlink r:id="rId487" ref="G597"/>
    <hyperlink r:id="rId488" ref="G598"/>
    <hyperlink r:id="rId489" ref="G599"/>
    <hyperlink r:id="rId490" ref="G600"/>
    <hyperlink r:id="rId491" ref="G601"/>
    <hyperlink r:id="rId492" ref="G602"/>
    <hyperlink r:id="rId493" ref="G603"/>
    <hyperlink r:id="rId494" ref="G604"/>
    <hyperlink r:id="rId495" ref="G605"/>
    <hyperlink r:id="rId496" ref="G606"/>
    <hyperlink r:id="rId497" ref="G607"/>
    <hyperlink r:id="rId498" ref="G608"/>
    <hyperlink r:id="rId499" ref="G609"/>
    <hyperlink r:id="rId500" ref="G610"/>
    <hyperlink r:id="rId501" ref="G611"/>
    <hyperlink r:id="rId502" ref="G612"/>
    <hyperlink r:id="rId503" ref="G613"/>
    <hyperlink r:id="rId504" ref="G614"/>
    <hyperlink r:id="rId505" ref="G615"/>
    <hyperlink r:id="rId506" ref="G616"/>
    <hyperlink r:id="rId507" ref="G617"/>
    <hyperlink r:id="rId508" ref="G618"/>
    <hyperlink r:id="rId509" ref="G619"/>
    <hyperlink r:id="rId510" ref="G620"/>
    <hyperlink r:id="rId511" ref="G621"/>
    <hyperlink r:id="rId512" ref="G622"/>
    <hyperlink r:id="rId513" ref="G623"/>
    <hyperlink r:id="rId514" ref="G624"/>
    <hyperlink r:id="rId515" ref="G625"/>
    <hyperlink r:id="rId516" ref="G626"/>
    <hyperlink r:id="rId517" ref="G627"/>
    <hyperlink r:id="rId518" ref="G628"/>
    <hyperlink r:id="rId519" ref="G629"/>
    <hyperlink r:id="rId520" ref="G630"/>
    <hyperlink r:id="rId521" ref="G631"/>
    <hyperlink r:id="rId522" ref="G632"/>
    <hyperlink r:id="rId523" ref="G633"/>
    <hyperlink r:id="rId524" ref="G634"/>
    <hyperlink r:id="rId525" ref="G635"/>
    <hyperlink r:id="rId526" ref="G636"/>
    <hyperlink r:id="rId527" ref="G637"/>
    <hyperlink r:id="rId528" ref="G638"/>
    <hyperlink r:id="rId529" ref="G639"/>
    <hyperlink r:id="rId530" ref="G640"/>
    <hyperlink r:id="rId531" ref="G641"/>
    <hyperlink r:id="rId532" ref="G642"/>
    <hyperlink r:id="rId533" ref="G643"/>
    <hyperlink r:id="rId534" ref="G644"/>
    <hyperlink r:id="rId535" ref="G645"/>
    <hyperlink r:id="rId536" ref="G646"/>
    <hyperlink r:id="rId537" ref="G647"/>
    <hyperlink r:id="rId538" ref="G648"/>
    <hyperlink r:id="rId539" ref="G649"/>
    <hyperlink r:id="rId540" ref="G650"/>
    <hyperlink r:id="rId541" ref="G651"/>
    <hyperlink r:id="rId542" ref="G652"/>
    <hyperlink r:id="rId543" ref="G653"/>
    <hyperlink r:id="rId544" ref="G654"/>
    <hyperlink r:id="rId545" ref="G655"/>
    <hyperlink r:id="rId546" ref="G656"/>
    <hyperlink r:id="rId547" ref="G657"/>
    <hyperlink r:id="rId548" ref="G658"/>
    <hyperlink r:id="rId549" ref="G659"/>
    <hyperlink r:id="rId550" ref="G660"/>
    <hyperlink r:id="rId551" ref="G661"/>
    <hyperlink r:id="rId552" ref="G662"/>
    <hyperlink r:id="rId553" ref="G663"/>
    <hyperlink r:id="rId554" ref="G664"/>
    <hyperlink r:id="rId555" ref="G665"/>
    <hyperlink r:id="rId556" ref="G666"/>
    <hyperlink r:id="rId557" ref="G667"/>
    <hyperlink r:id="rId558" ref="G668"/>
    <hyperlink r:id="rId559" ref="G669"/>
    <hyperlink r:id="rId560" ref="G670"/>
    <hyperlink r:id="rId561" ref="G671"/>
    <hyperlink r:id="rId562" ref="G672"/>
    <hyperlink r:id="rId563" ref="G673"/>
    <hyperlink r:id="rId564" ref="G674"/>
    <hyperlink r:id="rId565" ref="G675"/>
    <hyperlink r:id="rId566" ref="G676"/>
    <hyperlink r:id="rId567" ref="G677"/>
    <hyperlink r:id="rId568" ref="G678"/>
    <hyperlink r:id="rId569" ref="G680"/>
    <hyperlink r:id="rId570" ref="G681"/>
    <hyperlink r:id="rId571" ref="G682"/>
    <hyperlink r:id="rId572" ref="G683"/>
    <hyperlink r:id="rId573" ref="G684"/>
    <hyperlink r:id="rId574" ref="G685"/>
    <hyperlink r:id="rId575" ref="G686"/>
    <hyperlink r:id="rId576" ref="G687"/>
    <hyperlink r:id="rId577" ref="G688"/>
    <hyperlink r:id="rId578" ref="G689"/>
    <hyperlink r:id="rId579" ref="G690"/>
    <hyperlink r:id="rId580" ref="G691"/>
    <hyperlink r:id="rId581" ref="G692"/>
    <hyperlink r:id="rId582" ref="G693"/>
    <hyperlink r:id="rId583" ref="G694"/>
    <hyperlink r:id="rId584" ref="G695"/>
    <hyperlink r:id="rId585" ref="G696"/>
    <hyperlink r:id="rId586" ref="G697"/>
    <hyperlink r:id="rId587" ref="G698"/>
    <hyperlink r:id="rId588" ref="G699"/>
    <hyperlink r:id="rId589" ref="G700"/>
    <hyperlink r:id="rId590" ref="G701"/>
    <hyperlink r:id="rId591" ref="G702"/>
    <hyperlink r:id="rId592" ref="G703"/>
    <hyperlink r:id="rId593" ref="G704"/>
    <hyperlink r:id="rId594" ref="G705"/>
    <hyperlink r:id="rId595" ref="G706"/>
    <hyperlink r:id="rId596" ref="G707"/>
    <hyperlink r:id="rId597" ref="G708"/>
    <hyperlink r:id="rId598" ref="G709"/>
    <hyperlink r:id="rId599" ref="G710"/>
    <hyperlink r:id="rId600" ref="G711"/>
    <hyperlink r:id="rId601" ref="G712"/>
    <hyperlink r:id="rId602" ref="G713"/>
    <hyperlink r:id="rId603" ref="G714"/>
    <hyperlink r:id="rId604" ref="G715"/>
    <hyperlink r:id="rId605" ref="G716"/>
    <hyperlink r:id="rId606" ref="G717"/>
    <hyperlink r:id="rId607" ref="G718"/>
    <hyperlink r:id="rId608" ref="G719"/>
    <hyperlink r:id="rId609" ref="G720"/>
    <hyperlink r:id="rId610" ref="G721"/>
    <hyperlink r:id="rId611" ref="G722"/>
    <hyperlink r:id="rId612" ref="G723"/>
    <hyperlink r:id="rId613" ref="G724"/>
    <hyperlink r:id="rId614" ref="G725"/>
    <hyperlink r:id="rId615" ref="G726"/>
    <hyperlink r:id="rId616" ref="G727"/>
    <hyperlink r:id="rId617" ref="G728"/>
    <hyperlink r:id="rId618" ref="G729"/>
    <hyperlink r:id="rId619" ref="G730"/>
    <hyperlink r:id="rId620" ref="G731"/>
    <hyperlink r:id="rId621" ref="G732"/>
    <hyperlink r:id="rId622" ref="G733"/>
    <hyperlink r:id="rId623" ref="G734"/>
    <hyperlink r:id="rId624" ref="G735"/>
    <hyperlink r:id="rId625" ref="G736"/>
    <hyperlink r:id="rId626" ref="G737"/>
    <hyperlink r:id="rId627" ref="G738"/>
    <hyperlink r:id="rId628" ref="G739"/>
    <hyperlink r:id="rId629" ref="G740"/>
    <hyperlink r:id="rId630" ref="G741"/>
    <hyperlink r:id="rId631" ref="G742"/>
    <hyperlink r:id="rId632" ref="G743"/>
    <hyperlink r:id="rId633" ref="G744"/>
    <hyperlink r:id="rId634" ref="G745"/>
    <hyperlink r:id="rId635" ref="G746"/>
    <hyperlink r:id="rId636" ref="G747"/>
    <hyperlink r:id="rId637" ref="G748"/>
    <hyperlink r:id="rId638" ref="G749"/>
    <hyperlink r:id="rId639" ref="G750"/>
    <hyperlink r:id="rId640" ref="G751"/>
    <hyperlink r:id="rId641" ref="G752"/>
    <hyperlink r:id="rId642" ref="G753"/>
    <hyperlink r:id="rId643" ref="G754"/>
    <hyperlink r:id="rId644" ref="G755"/>
    <hyperlink r:id="rId645" ref="G756"/>
    <hyperlink r:id="rId646" ref="G757"/>
    <hyperlink r:id="rId647" ref="G758"/>
    <hyperlink r:id="rId648" ref="G759"/>
    <hyperlink r:id="rId649" ref="G760"/>
    <hyperlink r:id="rId650" ref="G761"/>
    <hyperlink r:id="rId651" ref="G762"/>
    <hyperlink r:id="rId652" ref="G763"/>
    <hyperlink r:id="rId653" ref="G764"/>
    <hyperlink r:id="rId654" ref="G765"/>
    <hyperlink r:id="rId655" ref="G766"/>
    <hyperlink r:id="rId656" ref="G767"/>
    <hyperlink r:id="rId657" ref="G768"/>
    <hyperlink r:id="rId658" ref="G769"/>
    <hyperlink r:id="rId659" ref="G770"/>
    <hyperlink r:id="rId660" ref="G771"/>
    <hyperlink r:id="rId661" ref="G772"/>
    <hyperlink r:id="rId662" ref="G773"/>
    <hyperlink r:id="rId663" ref="G774"/>
    <hyperlink r:id="rId664" ref="G775"/>
    <hyperlink r:id="rId665" ref="G776"/>
    <hyperlink r:id="rId666" ref="G777"/>
    <hyperlink r:id="rId667" ref="G778"/>
    <hyperlink r:id="rId668" ref="G779"/>
    <hyperlink r:id="rId669" ref="G780"/>
    <hyperlink r:id="rId670" ref="G781"/>
    <hyperlink r:id="rId671" ref="G782"/>
    <hyperlink r:id="rId672" ref="G783"/>
    <hyperlink r:id="rId673" ref="G784"/>
    <hyperlink r:id="rId674" ref="G785"/>
    <hyperlink r:id="rId675" ref="G786"/>
    <hyperlink r:id="rId676" ref="G787"/>
    <hyperlink r:id="rId677" ref="G788"/>
    <hyperlink r:id="rId678" ref="G789"/>
    <hyperlink r:id="rId679" ref="G790"/>
    <hyperlink r:id="rId680" ref="G791"/>
    <hyperlink r:id="rId681" ref="G792"/>
    <hyperlink r:id="rId682" ref="G793"/>
    <hyperlink r:id="rId683" ref="G794"/>
    <hyperlink r:id="rId684" ref="G795"/>
    <hyperlink r:id="rId685" ref="G796"/>
    <hyperlink r:id="rId686" ref="G797"/>
    <hyperlink r:id="rId687" ref="G798"/>
    <hyperlink r:id="rId688" ref="G799"/>
    <hyperlink r:id="rId689" ref="G800"/>
    <hyperlink r:id="rId690" ref="G801"/>
    <hyperlink r:id="rId691" ref="G802"/>
    <hyperlink r:id="rId692" ref="G803"/>
    <hyperlink r:id="rId693" ref="G804"/>
    <hyperlink r:id="rId694" ref="G805"/>
    <hyperlink r:id="rId695" ref="G806"/>
    <hyperlink r:id="rId696" ref="G807"/>
    <hyperlink r:id="rId697" ref="G808"/>
    <hyperlink r:id="rId698" ref="G809"/>
    <hyperlink r:id="rId699" ref="G810"/>
    <hyperlink r:id="rId700" ref="G811"/>
    <hyperlink r:id="rId701" ref="G812"/>
    <hyperlink r:id="rId702" ref="G813"/>
    <hyperlink r:id="rId703" ref="G814"/>
    <hyperlink r:id="rId704" ref="G815"/>
    <hyperlink r:id="rId705" ref="G816"/>
    <hyperlink r:id="rId706" ref="G817"/>
    <hyperlink r:id="rId707" ref="G818"/>
    <hyperlink r:id="rId708" ref="G819"/>
    <hyperlink r:id="rId709" ref="G820"/>
    <hyperlink r:id="rId710" ref="G821"/>
    <hyperlink r:id="rId711" ref="G822"/>
    <hyperlink r:id="rId712" ref="G823"/>
    <hyperlink r:id="rId713" ref="G824"/>
    <hyperlink r:id="rId714" ref="G825"/>
    <hyperlink r:id="rId715" ref="G826"/>
    <hyperlink r:id="rId716" ref="G827"/>
    <hyperlink r:id="rId717" ref="G828"/>
    <hyperlink r:id="rId718" ref="G829"/>
    <hyperlink r:id="rId719" ref="G830"/>
    <hyperlink r:id="rId720" ref="G831"/>
    <hyperlink r:id="rId721" ref="G832"/>
    <hyperlink r:id="rId722" ref="G833"/>
    <hyperlink r:id="rId723" ref="G834"/>
    <hyperlink r:id="rId724" ref="G835"/>
    <hyperlink r:id="rId725" ref="G836"/>
    <hyperlink r:id="rId726" ref="G837"/>
    <hyperlink r:id="rId727" ref="G838"/>
    <hyperlink r:id="rId728" ref="G839"/>
    <hyperlink r:id="rId729" ref="G840"/>
    <hyperlink r:id="rId730" ref="G841"/>
    <hyperlink r:id="rId731" ref="G842"/>
    <hyperlink r:id="rId732" ref="G843"/>
    <hyperlink r:id="rId733" ref="G844"/>
    <hyperlink r:id="rId734" ref="G845"/>
    <hyperlink r:id="rId735" ref="G846"/>
    <hyperlink r:id="rId736" ref="G847"/>
    <hyperlink r:id="rId737" ref="G848"/>
    <hyperlink r:id="rId738" ref="G849"/>
    <hyperlink r:id="rId739" ref="G850"/>
    <hyperlink r:id="rId740" ref="G851"/>
    <hyperlink r:id="rId741" ref="G852"/>
    <hyperlink r:id="rId742" ref="G853"/>
    <hyperlink r:id="rId743" ref="G854"/>
    <hyperlink r:id="rId744" ref="G855"/>
    <hyperlink r:id="rId745" ref="G856"/>
    <hyperlink r:id="rId746" ref="G857"/>
    <hyperlink r:id="rId747" ref="G858"/>
    <hyperlink r:id="rId748" ref="G859"/>
    <hyperlink r:id="rId749" ref="G860"/>
    <hyperlink r:id="rId750" ref="G861"/>
    <hyperlink r:id="rId751" ref="G862"/>
    <hyperlink r:id="rId752" ref="G863"/>
    <hyperlink r:id="rId753" ref="G864"/>
    <hyperlink r:id="rId754" ref="G865"/>
    <hyperlink r:id="rId755" ref="G866"/>
    <hyperlink r:id="rId756" ref="G867"/>
    <hyperlink r:id="rId757" ref="G868"/>
    <hyperlink r:id="rId758" ref="G869"/>
    <hyperlink r:id="rId759" ref="G870"/>
    <hyperlink r:id="rId760" ref="G871"/>
    <hyperlink r:id="rId761" ref="G872"/>
    <hyperlink r:id="rId762" ref="G873"/>
    <hyperlink r:id="rId763" ref="G874"/>
    <hyperlink r:id="rId764" ref="G875"/>
    <hyperlink r:id="rId765" ref="G876"/>
    <hyperlink r:id="rId766" ref="G877"/>
    <hyperlink r:id="rId767" ref="G878"/>
    <hyperlink r:id="rId768" ref="G879"/>
    <hyperlink r:id="rId769" ref="G880"/>
    <hyperlink r:id="rId770" ref="G881"/>
    <hyperlink r:id="rId771" ref="G882"/>
    <hyperlink r:id="rId772" ref="G883"/>
    <hyperlink r:id="rId773" ref="G884"/>
    <hyperlink r:id="rId774" ref="G885"/>
    <hyperlink r:id="rId775" ref="G886"/>
    <hyperlink r:id="rId776" ref="G887"/>
    <hyperlink r:id="rId777" ref="G888"/>
    <hyperlink r:id="rId778" ref="G889"/>
    <hyperlink r:id="rId779" ref="G890"/>
    <hyperlink r:id="rId780" ref="G891"/>
    <hyperlink r:id="rId781" ref="G892"/>
    <hyperlink r:id="rId782" ref="G893"/>
    <hyperlink r:id="rId783" ref="G894"/>
    <hyperlink r:id="rId784" ref="G895"/>
    <hyperlink r:id="rId785" ref="G896"/>
    <hyperlink r:id="rId786" ref="G897"/>
    <hyperlink r:id="rId787" ref="G898"/>
    <hyperlink r:id="rId788" ref="G899"/>
    <hyperlink r:id="rId789" ref="G900"/>
    <hyperlink r:id="rId790" ref="G901"/>
    <hyperlink r:id="rId791" ref="G902"/>
    <hyperlink r:id="rId792" ref="G903"/>
    <hyperlink r:id="rId793" ref="G904"/>
    <hyperlink r:id="rId794" ref="G905"/>
    <hyperlink r:id="rId795" ref="G906"/>
    <hyperlink r:id="rId796" ref="G907"/>
    <hyperlink r:id="rId797" ref="G908"/>
    <hyperlink r:id="rId798" ref="G909"/>
    <hyperlink r:id="rId799" ref="G910"/>
    <hyperlink r:id="rId800" ref="G911"/>
    <hyperlink r:id="rId801" ref="G912"/>
    <hyperlink r:id="rId802" ref="G913"/>
    <hyperlink r:id="rId803" ref="G914"/>
    <hyperlink r:id="rId804" ref="G915"/>
    <hyperlink r:id="rId805" ref="G916"/>
    <hyperlink r:id="rId806" ref="G917"/>
    <hyperlink r:id="rId807" ref="G918"/>
    <hyperlink r:id="rId808" ref="G919"/>
    <hyperlink r:id="rId809" ref="G920"/>
    <hyperlink r:id="rId810" ref="G921"/>
    <hyperlink r:id="rId811" ref="G922"/>
    <hyperlink r:id="rId812" ref="G923"/>
    <hyperlink r:id="rId813" ref="G924"/>
    <hyperlink r:id="rId814" ref="G925"/>
    <hyperlink r:id="rId815" ref="G926"/>
    <hyperlink r:id="rId816" ref="G927"/>
    <hyperlink r:id="rId817" ref="G928"/>
    <hyperlink r:id="rId818" ref="G929"/>
    <hyperlink r:id="rId819" ref="G930"/>
    <hyperlink r:id="rId820" ref="G931"/>
    <hyperlink r:id="rId821" ref="G932"/>
    <hyperlink r:id="rId822" ref="G933"/>
    <hyperlink r:id="rId823" ref="G934"/>
    <hyperlink r:id="rId824" ref="G935"/>
    <hyperlink r:id="rId825" ref="G936"/>
    <hyperlink r:id="rId826" ref="G937"/>
    <hyperlink r:id="rId827" ref="G938"/>
    <hyperlink r:id="rId828" ref="G939"/>
    <hyperlink r:id="rId829" ref="G940"/>
    <hyperlink r:id="rId830" ref="G941"/>
    <hyperlink r:id="rId831" ref="G942"/>
    <hyperlink r:id="rId832" ref="G943"/>
    <hyperlink r:id="rId833" ref="G944"/>
    <hyperlink r:id="rId834" ref="G945"/>
    <hyperlink r:id="rId835" ref="G946"/>
    <hyperlink r:id="rId836" ref="G947"/>
    <hyperlink r:id="rId837" ref="G948"/>
    <hyperlink r:id="rId838" ref="G949"/>
    <hyperlink r:id="rId839" ref="G950"/>
    <hyperlink r:id="rId840" ref="G951"/>
    <hyperlink r:id="rId841" ref="G952"/>
    <hyperlink r:id="rId842" ref="G953"/>
    <hyperlink r:id="rId843" ref="G954"/>
    <hyperlink r:id="rId844" ref="G955"/>
    <hyperlink r:id="rId845" ref="G956"/>
    <hyperlink r:id="rId846" ref="G957"/>
    <hyperlink r:id="rId847" ref="G958"/>
    <hyperlink r:id="rId848" ref="G959"/>
    <hyperlink r:id="rId849" ref="G960"/>
    <hyperlink r:id="rId850" ref="G961"/>
    <hyperlink r:id="rId851" ref="G962"/>
    <hyperlink r:id="rId852" ref="G963"/>
    <hyperlink r:id="rId853" ref="G964"/>
    <hyperlink r:id="rId854" ref="G965"/>
    <hyperlink r:id="rId855" ref="G966"/>
    <hyperlink r:id="rId856" ref="G967"/>
    <hyperlink r:id="rId857" ref="G968"/>
    <hyperlink r:id="rId858" ref="G969"/>
    <hyperlink r:id="rId859" ref="G970"/>
    <hyperlink r:id="rId860" ref="G971"/>
    <hyperlink r:id="rId861" ref="G972"/>
  </hyperlinks>
  <drawing r:id="rId862"/>
</worksheet>
</file>